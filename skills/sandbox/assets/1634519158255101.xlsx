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B085B780-42AA-4B8F-A40E-FB17965C34BF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规则表" sheetId="1" r:id="rId1"/>
    <sheet name="订单贴现表" sheetId="14" r:id="rId2"/>
    <sheet name="现金流量表" sheetId="2" r:id="rId3"/>
    <sheet name="生产建设" sheetId="11" r:id="rId4"/>
    <sheet name="材料表" sheetId="3" r:id="rId5"/>
    <sheet name="自动订单表" sheetId="10" r:id="rId6"/>
    <sheet name="产能表" sheetId="5" r:id="rId7"/>
    <sheet name="原始订单表" sheetId="4" r:id="rId8"/>
    <sheet name="激励" sheetId="7" r:id="rId9"/>
    <sheet name="竞单" sheetId="15" r:id="rId10"/>
    <sheet name="竞单分析" sheetId="16" r:id="rId11"/>
    <sheet name="广告表" sheetId="6" state="hidden" r:id="rId12"/>
    <sheet name="改进意见" sheetId="8" state="hidden" r:id="rId13"/>
  </sheets>
  <definedNames>
    <definedName name="_xlnm._FilterDatabase" localSheetId="9" hidden="1">竞单!$A$1:$L$19</definedName>
  </definedNames>
  <calcPr calcId="191029"/>
  <pivotCaches>
    <pivotCache cacheId="0" r:id="rId14"/>
  </pivotCaches>
</workbook>
</file>

<file path=xl/calcChain.xml><?xml version="1.0" encoding="utf-8"?>
<calcChain xmlns="http://schemas.openxmlformats.org/spreadsheetml/2006/main">
  <c r="T30" i="2" l="1" a="1"/>
  <c r="H53" i="2" a="1"/>
  <c r="O82" i="11" a="1"/>
  <c r="P82" i="11" a="1"/>
  <c r="N82" i="11" a="1"/>
  <c r="K72" i="11" a="1"/>
  <c r="M94" i="11" a="1"/>
  <c r="L94" i="11" a="1"/>
  <c r="J94" i="11" a="1"/>
  <c r="M82" i="11" a="1"/>
  <c r="L82" i="11" a="1"/>
  <c r="K82" i="11" a="1"/>
  <c r="J82" i="11" a="1"/>
  <c r="J77" i="11" a="1"/>
  <c r="J72" i="11" a="1"/>
  <c r="H67" i="2" a="1"/>
  <c r="W42" i="6"/>
  <c r="V42" i="6"/>
  <c r="X42" i="6" s="1"/>
  <c r="W41" i="6"/>
  <c r="V41" i="6"/>
  <c r="X41" i="6" s="1"/>
  <c r="W40" i="6"/>
  <c r="V40" i="6"/>
  <c r="X40" i="6" s="1"/>
  <c r="W39" i="6"/>
  <c r="V39" i="6"/>
  <c r="X39" i="6" s="1"/>
  <c r="W38" i="6"/>
  <c r="V38" i="6"/>
  <c r="X38" i="6" s="1"/>
  <c r="W37" i="6"/>
  <c r="V37" i="6"/>
  <c r="X37" i="6" s="1"/>
  <c r="W36" i="6"/>
  <c r="V36" i="6"/>
  <c r="X36" i="6" s="1"/>
  <c r="W35" i="6"/>
  <c r="V35" i="6"/>
  <c r="X35" i="6" s="1"/>
  <c r="W34" i="6"/>
  <c r="V34" i="6"/>
  <c r="X34" i="6" s="1"/>
  <c r="W33" i="6"/>
  <c r="V33" i="6"/>
  <c r="X33" i="6" s="1"/>
  <c r="W32" i="6"/>
  <c r="V32" i="6"/>
  <c r="X32" i="6" s="1"/>
  <c r="W31" i="6"/>
  <c r="V31" i="6"/>
  <c r="X31" i="6" s="1"/>
  <c r="W30" i="6"/>
  <c r="V30" i="6"/>
  <c r="X30" i="6" s="1"/>
  <c r="W29" i="6"/>
  <c r="V29" i="6"/>
  <c r="X29" i="6" s="1"/>
  <c r="W28" i="6"/>
  <c r="V28" i="6"/>
  <c r="X28" i="6" s="1"/>
  <c r="W27" i="6"/>
  <c r="V27" i="6"/>
  <c r="X27" i="6" s="1"/>
  <c r="W26" i="6"/>
  <c r="V26" i="6"/>
  <c r="X26" i="6" s="1"/>
  <c r="W25" i="6"/>
  <c r="V25" i="6"/>
  <c r="X25" i="6" s="1"/>
  <c r="W24" i="6"/>
  <c r="V24" i="6"/>
  <c r="X24" i="6" s="1"/>
  <c r="W23" i="6"/>
  <c r="V23" i="6"/>
  <c r="X23" i="6" s="1"/>
  <c r="W22" i="6"/>
  <c r="V22" i="6"/>
  <c r="X22" i="6" s="1"/>
  <c r="W21" i="6"/>
  <c r="V21" i="6"/>
  <c r="X21" i="6" s="1"/>
  <c r="W20" i="6"/>
  <c r="V20" i="6"/>
  <c r="X20" i="6" s="1"/>
  <c r="W19" i="6"/>
  <c r="V19" i="6"/>
  <c r="X19" i="6" s="1"/>
  <c r="W18" i="6"/>
  <c r="V18" i="6"/>
  <c r="X18" i="6" s="1"/>
  <c r="W17" i="6"/>
  <c r="V17" i="6"/>
  <c r="X17" i="6" s="1"/>
  <c r="W16" i="6"/>
  <c r="V16" i="6"/>
  <c r="X16" i="6" s="1"/>
  <c r="W15" i="6"/>
  <c r="V15" i="6"/>
  <c r="X15" i="6" s="1"/>
  <c r="W14" i="6"/>
  <c r="V14" i="6"/>
  <c r="X14" i="6" s="1"/>
  <c r="W13" i="6"/>
  <c r="V13" i="6"/>
  <c r="X13" i="6" s="1"/>
  <c r="W12" i="6"/>
  <c r="V12" i="6"/>
  <c r="X12" i="6" s="1"/>
  <c r="W11" i="6"/>
  <c r="V11" i="6"/>
  <c r="X11" i="6" s="1"/>
  <c r="W10" i="6"/>
  <c r="V10" i="6"/>
  <c r="X10" i="6" s="1"/>
  <c r="W9" i="6"/>
  <c r="V9" i="6"/>
  <c r="X9" i="6" s="1"/>
  <c r="W8" i="6"/>
  <c r="V8" i="6"/>
  <c r="X8" i="6" s="1"/>
  <c r="W7" i="6"/>
  <c r="V7" i="6"/>
  <c r="X7" i="6" s="1"/>
  <c r="W6" i="6"/>
  <c r="V6" i="6"/>
  <c r="X6" i="6" s="1"/>
  <c r="W5" i="6"/>
  <c r="V5" i="6"/>
  <c r="X5" i="6" s="1"/>
  <c r="W4" i="6"/>
  <c r="V4" i="6"/>
  <c r="X4" i="6" s="1"/>
  <c r="W3" i="6"/>
  <c r="V3" i="6"/>
  <c r="X3" i="6" s="1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4" i="4"/>
  <c r="L4" i="4"/>
  <c r="M3" i="4"/>
  <c r="L3" i="4"/>
  <c r="M2" i="4"/>
  <c r="L2" i="4"/>
  <c r="H21" i="5"/>
  <c r="G21" i="5"/>
  <c r="F21" i="5"/>
  <c r="E21" i="5"/>
  <c r="D21" i="5"/>
  <c r="C21" i="5"/>
  <c r="B21" i="5"/>
  <c r="P19" i="5"/>
  <c r="O19" i="5"/>
  <c r="N19" i="5"/>
  <c r="K17" i="10"/>
  <c r="K16" i="10"/>
  <c r="K15" i="10"/>
  <c r="K14" i="10"/>
  <c r="K13" i="10"/>
  <c r="K12" i="10"/>
  <c r="K11" i="10"/>
  <c r="K10" i="10"/>
  <c r="K9" i="10"/>
  <c r="A5" i="10" a="1"/>
  <c r="M56" i="3"/>
  <c r="L56" i="3"/>
  <c r="K56" i="3"/>
  <c r="J56" i="3"/>
  <c r="M55" i="3"/>
  <c r="L55" i="3"/>
  <c r="K55" i="3"/>
  <c r="J55" i="3"/>
  <c r="H54" i="3"/>
  <c r="G54" i="3"/>
  <c r="G28" i="5" s="1"/>
  <c r="F54" i="3"/>
  <c r="F28" i="5" s="1"/>
  <c r="E54" i="3"/>
  <c r="E28" i="5" s="1"/>
  <c r="D54" i="3"/>
  <c r="D28" i="5" s="1"/>
  <c r="C54" i="3"/>
  <c r="C28" i="5" s="1"/>
  <c r="B54" i="3"/>
  <c r="B28" i="5" s="1"/>
  <c r="A54" i="3"/>
  <c r="H53" i="3"/>
  <c r="G53" i="3"/>
  <c r="F53" i="3"/>
  <c r="E53" i="3"/>
  <c r="D53" i="3"/>
  <c r="C53" i="3"/>
  <c r="B53" i="3"/>
  <c r="A53" i="3"/>
  <c r="L52" i="3"/>
  <c r="K52" i="3"/>
  <c r="J52" i="3"/>
  <c r="H52" i="3"/>
  <c r="G52" i="3"/>
  <c r="F52" i="3"/>
  <c r="E52" i="3"/>
  <c r="D52" i="3"/>
  <c r="C52" i="3"/>
  <c r="B52" i="3"/>
  <c r="A52" i="3"/>
  <c r="L51" i="3"/>
  <c r="K51" i="3"/>
  <c r="J51" i="3"/>
  <c r="G51" i="3"/>
  <c r="G26" i="5" s="1"/>
  <c r="F51" i="3"/>
  <c r="F26" i="5" s="1"/>
  <c r="E51" i="3"/>
  <c r="E26" i="5" s="1"/>
  <c r="D51" i="3"/>
  <c r="D26" i="5" s="1"/>
  <c r="C51" i="3"/>
  <c r="C26" i="5" s="1"/>
  <c r="B51" i="3"/>
  <c r="G50" i="3"/>
  <c r="G25" i="5" s="1"/>
  <c r="F50" i="3"/>
  <c r="F25" i="5" s="1"/>
  <c r="E50" i="3"/>
  <c r="E25" i="5" s="1"/>
  <c r="D50" i="3"/>
  <c r="D25" i="5" s="1"/>
  <c r="C50" i="3"/>
  <c r="C25" i="5" s="1"/>
  <c r="B50" i="3"/>
  <c r="G49" i="3"/>
  <c r="G24" i="5" s="1"/>
  <c r="F49" i="3"/>
  <c r="F24" i="5" s="1"/>
  <c r="E49" i="3"/>
  <c r="E24" i="5" s="1"/>
  <c r="D49" i="3"/>
  <c r="D24" i="5" s="1"/>
  <c r="C49" i="3"/>
  <c r="C24" i="5" s="1"/>
  <c r="B49" i="3"/>
  <c r="O48" i="3"/>
  <c r="N48" i="3"/>
  <c r="M48" i="3"/>
  <c r="L48" i="3"/>
  <c r="K48" i="3"/>
  <c r="J48" i="3"/>
  <c r="G48" i="3"/>
  <c r="G23" i="5" s="1"/>
  <c r="F48" i="3"/>
  <c r="F23" i="5" s="1"/>
  <c r="E48" i="3"/>
  <c r="E23" i="5" s="1"/>
  <c r="D48" i="3"/>
  <c r="D23" i="5" s="1"/>
  <c r="C48" i="3"/>
  <c r="C23" i="5" s="1"/>
  <c r="B48" i="3"/>
  <c r="O47" i="3"/>
  <c r="N47" i="3"/>
  <c r="M47" i="3"/>
  <c r="L47" i="3"/>
  <c r="K47" i="3"/>
  <c r="J47" i="3"/>
  <c r="G47" i="3"/>
  <c r="G22" i="5" s="1"/>
  <c r="F47" i="3"/>
  <c r="F22" i="5" s="1"/>
  <c r="E47" i="3"/>
  <c r="E22" i="5" s="1"/>
  <c r="D47" i="3"/>
  <c r="D22" i="5" s="1"/>
  <c r="C47" i="3"/>
  <c r="C22" i="5" s="1"/>
  <c r="B47" i="3"/>
  <c r="M44" i="3"/>
  <c r="L44" i="3"/>
  <c r="K44" i="3"/>
  <c r="J44" i="3"/>
  <c r="I44" i="3"/>
  <c r="H44" i="3"/>
  <c r="G44" i="3"/>
  <c r="F44" i="3"/>
  <c r="E44" i="3"/>
  <c r="D44" i="3"/>
  <c r="C44" i="3"/>
  <c r="B44" i="3"/>
  <c r="A44" i="3"/>
  <c r="M43" i="3"/>
  <c r="L43" i="3"/>
  <c r="K43" i="3"/>
  <c r="J43" i="3"/>
  <c r="I43" i="3"/>
  <c r="H43" i="3"/>
  <c r="G43" i="3"/>
  <c r="F43" i="3"/>
  <c r="E43" i="3"/>
  <c r="D43" i="3"/>
  <c r="C43" i="3"/>
  <c r="B43" i="3"/>
  <c r="A43" i="3"/>
  <c r="M42" i="3"/>
  <c r="L42" i="3"/>
  <c r="K42" i="3"/>
  <c r="J42" i="3"/>
  <c r="I42" i="3"/>
  <c r="H42" i="3"/>
  <c r="G42" i="3"/>
  <c r="F42" i="3"/>
  <c r="E42" i="3"/>
  <c r="D42" i="3"/>
  <c r="C42" i="3"/>
  <c r="B42" i="3"/>
  <c r="A42" i="3"/>
  <c r="D38" i="3"/>
  <c r="D37" i="3"/>
  <c r="D36" i="3"/>
  <c r="D35" i="3"/>
  <c r="D34" i="3"/>
  <c r="X108" i="11" a="1"/>
  <c r="W108" i="11" a="1"/>
  <c r="V108" i="11" a="1"/>
  <c r="U108" i="11" a="1"/>
  <c r="T108" i="11" a="1"/>
  <c r="S108" i="11" a="1"/>
  <c r="R108" i="11" a="1"/>
  <c r="Q108" i="11" a="1"/>
  <c r="P108" i="11" a="1"/>
  <c r="O108" i="11" a="1"/>
  <c r="N108" i="11" a="1"/>
  <c r="M108" i="11" a="1"/>
  <c r="L108" i="11" a="1"/>
  <c r="K108" i="11" a="1"/>
  <c r="J108" i="11" a="1"/>
  <c r="I108" i="11" a="1"/>
  <c r="X107" i="11" a="1"/>
  <c r="W107" i="11" a="1"/>
  <c r="V107" i="11" a="1"/>
  <c r="U107" i="11" a="1"/>
  <c r="T107" i="11" a="1"/>
  <c r="S107" i="11" a="1"/>
  <c r="R107" i="11" a="1"/>
  <c r="Q107" i="11" a="1"/>
  <c r="P107" i="11" a="1"/>
  <c r="O107" i="11" a="1"/>
  <c r="N107" i="11" a="1"/>
  <c r="M107" i="11" a="1"/>
  <c r="L107" i="11" a="1"/>
  <c r="K107" i="11" a="1"/>
  <c r="J107" i="11" a="1"/>
  <c r="I107" i="11" a="1"/>
  <c r="X106" i="11" a="1"/>
  <c r="W106" i="11" a="1"/>
  <c r="V106" i="11" a="1"/>
  <c r="U106" i="11" a="1"/>
  <c r="T106" i="11" a="1"/>
  <c r="S106" i="11" a="1"/>
  <c r="R106" i="11" a="1"/>
  <c r="Q106" i="11" a="1"/>
  <c r="P106" i="11" a="1"/>
  <c r="O106" i="11" a="1"/>
  <c r="N106" i="11" a="1"/>
  <c r="M106" i="11" a="1"/>
  <c r="L106" i="11" a="1"/>
  <c r="K106" i="11" a="1"/>
  <c r="J106" i="11" a="1"/>
  <c r="I106" i="11" a="1"/>
  <c r="X105" i="11" a="1"/>
  <c r="W105" i="11" a="1"/>
  <c r="V105" i="11" a="1"/>
  <c r="U105" i="11" a="1"/>
  <c r="T105" i="11" a="1"/>
  <c r="S105" i="11" a="1"/>
  <c r="R105" i="11" a="1"/>
  <c r="Q105" i="11" a="1"/>
  <c r="P105" i="11" a="1"/>
  <c r="O105" i="11" a="1"/>
  <c r="N105" i="11" a="1"/>
  <c r="M105" i="11" a="1"/>
  <c r="L105" i="11" a="1"/>
  <c r="K105" i="11" a="1"/>
  <c r="J105" i="11" a="1"/>
  <c r="I105" i="11" a="1"/>
  <c r="X104" i="11" a="1"/>
  <c r="W104" i="11" a="1"/>
  <c r="V104" i="11" a="1"/>
  <c r="U104" i="11" a="1"/>
  <c r="T104" i="11" a="1"/>
  <c r="S104" i="11" a="1"/>
  <c r="R104" i="11" a="1"/>
  <c r="Q104" i="11" a="1"/>
  <c r="P104" i="11" a="1"/>
  <c r="O104" i="11" a="1"/>
  <c r="N104" i="11" a="1"/>
  <c r="M104" i="11" a="1"/>
  <c r="L104" i="11" a="1"/>
  <c r="K104" i="11" a="1"/>
  <c r="J104" i="11" a="1"/>
  <c r="I104" i="11" a="1"/>
  <c r="X103" i="11" a="1"/>
  <c r="W103" i="11" a="1"/>
  <c r="V103" i="11" a="1"/>
  <c r="U103" i="11" a="1"/>
  <c r="T103" i="11" a="1"/>
  <c r="S103" i="11" a="1"/>
  <c r="R103" i="11" a="1"/>
  <c r="Q103" i="11" a="1"/>
  <c r="P103" i="11" a="1"/>
  <c r="O103" i="11" a="1"/>
  <c r="N103" i="11" a="1"/>
  <c r="M103" i="11" a="1"/>
  <c r="L103" i="11" a="1"/>
  <c r="K103" i="11" a="1"/>
  <c r="J103" i="11" a="1"/>
  <c r="I103" i="11" a="1"/>
  <c r="X102" i="11" a="1"/>
  <c r="W102" i="11" a="1"/>
  <c r="V102" i="11" a="1"/>
  <c r="U102" i="11" a="1"/>
  <c r="T102" i="11" a="1"/>
  <c r="S102" i="11" a="1"/>
  <c r="R102" i="11" a="1"/>
  <c r="Q102" i="11" a="1"/>
  <c r="P102" i="11" a="1"/>
  <c r="O102" i="11" a="1"/>
  <c r="N102" i="11" a="1"/>
  <c r="M102" i="11" a="1"/>
  <c r="L102" i="11" a="1"/>
  <c r="K102" i="11" a="1"/>
  <c r="J102" i="11" a="1"/>
  <c r="I102" i="11" a="1"/>
  <c r="X101" i="11" a="1"/>
  <c r="W101" i="11" a="1"/>
  <c r="V101" i="11" a="1"/>
  <c r="U101" i="11" a="1"/>
  <c r="T101" i="11" a="1"/>
  <c r="S101" i="11" a="1"/>
  <c r="R101" i="11" a="1"/>
  <c r="Q101" i="11" a="1"/>
  <c r="P101" i="11" a="1"/>
  <c r="O101" i="11" a="1"/>
  <c r="N101" i="11" a="1"/>
  <c r="M101" i="11" a="1"/>
  <c r="L101" i="11" a="1"/>
  <c r="K101" i="11" a="1"/>
  <c r="J101" i="11" a="1"/>
  <c r="I101" i="11" a="1"/>
  <c r="X100" i="11" a="1"/>
  <c r="W100" i="11" a="1"/>
  <c r="V100" i="11" a="1"/>
  <c r="U100" i="11" a="1"/>
  <c r="T100" i="11" a="1"/>
  <c r="S100" i="11" a="1"/>
  <c r="R100" i="11" a="1"/>
  <c r="Q100" i="11" a="1"/>
  <c r="P100" i="11" a="1"/>
  <c r="O100" i="11" a="1"/>
  <c r="N100" i="11" a="1"/>
  <c r="M100" i="11" a="1"/>
  <c r="L100" i="11" a="1"/>
  <c r="K100" i="11" a="1"/>
  <c r="J100" i="11" a="1"/>
  <c r="I100" i="11" a="1"/>
  <c r="X99" i="11" a="1"/>
  <c r="W99" i="11" a="1"/>
  <c r="V99" i="11" a="1"/>
  <c r="U99" i="11" a="1"/>
  <c r="T99" i="11" a="1"/>
  <c r="S99" i="11" a="1"/>
  <c r="R99" i="11" a="1"/>
  <c r="Q99" i="11" a="1"/>
  <c r="P99" i="11" a="1"/>
  <c r="O99" i="11" a="1"/>
  <c r="N99" i="11" a="1"/>
  <c r="M99" i="11" a="1"/>
  <c r="L99" i="11" a="1"/>
  <c r="K99" i="11" a="1"/>
  <c r="J99" i="11" a="1"/>
  <c r="I99" i="11" a="1"/>
  <c r="X98" i="11" a="1"/>
  <c r="W98" i="11" a="1"/>
  <c r="V98" i="11" a="1"/>
  <c r="U98" i="11" a="1"/>
  <c r="T98" i="11" a="1"/>
  <c r="S98" i="11" a="1"/>
  <c r="R98" i="11" a="1"/>
  <c r="Q98" i="11" a="1"/>
  <c r="P98" i="11" a="1"/>
  <c r="O98" i="11" a="1"/>
  <c r="N98" i="11" a="1"/>
  <c r="M98" i="11" a="1"/>
  <c r="L98" i="11" a="1"/>
  <c r="K98" i="11" a="1"/>
  <c r="J98" i="11" a="1"/>
  <c r="I98" i="11" a="1"/>
  <c r="X97" i="11" a="1"/>
  <c r="W97" i="11" a="1"/>
  <c r="V97" i="11" a="1"/>
  <c r="U97" i="11" a="1"/>
  <c r="T97" i="11" a="1"/>
  <c r="S97" i="11" a="1"/>
  <c r="R97" i="11" a="1"/>
  <c r="Q97" i="11" a="1"/>
  <c r="P97" i="11" a="1"/>
  <c r="O97" i="11" a="1"/>
  <c r="N97" i="11" a="1"/>
  <c r="M97" i="11" a="1"/>
  <c r="L97" i="11" a="1"/>
  <c r="K97" i="11" a="1"/>
  <c r="J97" i="11" a="1"/>
  <c r="I97" i="11" a="1"/>
  <c r="X96" i="11" a="1"/>
  <c r="W96" i="11" a="1"/>
  <c r="V96" i="11" a="1"/>
  <c r="U96" i="11" a="1"/>
  <c r="T96" i="11" a="1"/>
  <c r="S96" i="11" a="1"/>
  <c r="R96" i="11" a="1"/>
  <c r="Q96" i="11" a="1"/>
  <c r="P96" i="11" a="1"/>
  <c r="O96" i="11" a="1"/>
  <c r="N96" i="11" a="1"/>
  <c r="M96" i="11" a="1"/>
  <c r="L96" i="11" a="1"/>
  <c r="K96" i="11" a="1"/>
  <c r="J96" i="11" a="1"/>
  <c r="I96" i="11" a="1"/>
  <c r="X95" i="11" a="1"/>
  <c r="W95" i="11" a="1"/>
  <c r="V95" i="11" a="1"/>
  <c r="U95" i="11" a="1"/>
  <c r="T95" i="11" a="1"/>
  <c r="S95" i="11" a="1"/>
  <c r="R95" i="11" a="1"/>
  <c r="Q95" i="11" a="1"/>
  <c r="P95" i="11" a="1"/>
  <c r="O95" i="11" a="1"/>
  <c r="N95" i="11" a="1"/>
  <c r="M95" i="11" a="1"/>
  <c r="L95" i="11" a="1"/>
  <c r="K95" i="11" a="1"/>
  <c r="J95" i="11" a="1"/>
  <c r="I95" i="11" a="1"/>
  <c r="X94" i="11" a="1"/>
  <c r="W94" i="11" a="1"/>
  <c r="V94" i="11" a="1"/>
  <c r="U94" i="11" a="1"/>
  <c r="T94" i="11" a="1"/>
  <c r="S94" i="11" a="1"/>
  <c r="R94" i="11" a="1"/>
  <c r="Q94" i="11" a="1"/>
  <c r="P94" i="11" a="1"/>
  <c r="O94" i="11" a="1"/>
  <c r="N94" i="11" a="1"/>
  <c r="K94" i="11" a="1"/>
  <c r="I94" i="11" a="1"/>
  <c r="I88" i="11"/>
  <c r="X86" i="11" a="1"/>
  <c r="W86" i="11" a="1"/>
  <c r="V86" i="11" a="1"/>
  <c r="U86" i="11" a="1"/>
  <c r="T86" i="11" a="1"/>
  <c r="S86" i="11" a="1"/>
  <c r="R86" i="11" a="1"/>
  <c r="Q86" i="11" a="1"/>
  <c r="P86" i="11" a="1"/>
  <c r="O86" i="11" a="1"/>
  <c r="N86" i="11" a="1"/>
  <c r="M86" i="11" a="1"/>
  <c r="L86" i="11" a="1"/>
  <c r="K86" i="11" a="1"/>
  <c r="J86" i="11" a="1"/>
  <c r="I86" i="11" a="1"/>
  <c r="X85" i="11" a="1"/>
  <c r="W85" i="11" a="1"/>
  <c r="V85" i="11" a="1"/>
  <c r="U85" i="11" a="1"/>
  <c r="T85" i="11" a="1"/>
  <c r="S85" i="11" a="1"/>
  <c r="R85" i="11" a="1"/>
  <c r="Q85" i="11" a="1"/>
  <c r="P85" i="11" a="1"/>
  <c r="O85" i="11" a="1"/>
  <c r="N85" i="11" a="1"/>
  <c r="M85" i="11" a="1"/>
  <c r="L85" i="11" a="1"/>
  <c r="K85" i="11" a="1"/>
  <c r="J85" i="11" a="1"/>
  <c r="I85" i="11" a="1"/>
  <c r="X84" i="11" a="1"/>
  <c r="W84" i="11" a="1"/>
  <c r="V84" i="11" a="1"/>
  <c r="U84" i="11" a="1"/>
  <c r="T84" i="11" a="1"/>
  <c r="S84" i="11" a="1"/>
  <c r="R84" i="11" a="1"/>
  <c r="Q84" i="11" a="1"/>
  <c r="P84" i="11" a="1"/>
  <c r="O84" i="11" a="1"/>
  <c r="N84" i="11" a="1"/>
  <c r="M84" i="11" a="1"/>
  <c r="L84" i="11" a="1"/>
  <c r="K84" i="11" a="1"/>
  <c r="J84" i="11" a="1"/>
  <c r="I84" i="11" a="1"/>
  <c r="X83" i="11" a="1"/>
  <c r="W83" i="11" a="1"/>
  <c r="V83" i="11" a="1"/>
  <c r="U83" i="11" a="1"/>
  <c r="T83" i="11" a="1"/>
  <c r="S83" i="11" a="1"/>
  <c r="R83" i="11" a="1"/>
  <c r="Q83" i="11" a="1"/>
  <c r="P83" i="11" a="1"/>
  <c r="O83" i="11" a="1"/>
  <c r="N83" i="11" a="1"/>
  <c r="M83" i="11" a="1"/>
  <c r="L83" i="11" a="1"/>
  <c r="K83" i="11" a="1"/>
  <c r="J83" i="11" a="1"/>
  <c r="I83" i="11" a="1"/>
  <c r="X82" i="11" a="1"/>
  <c r="W82" i="11" a="1"/>
  <c r="V82" i="11" a="1"/>
  <c r="U82" i="11" a="1"/>
  <c r="T82" i="11" a="1"/>
  <c r="S82" i="11" a="1"/>
  <c r="R82" i="11" a="1"/>
  <c r="Q82" i="11" a="1"/>
  <c r="I82" i="11" a="1"/>
  <c r="X81" i="11" a="1"/>
  <c r="W81" i="11" a="1"/>
  <c r="V81" i="11" a="1"/>
  <c r="U81" i="11" a="1"/>
  <c r="T81" i="11" a="1"/>
  <c r="S81" i="11" a="1"/>
  <c r="R81" i="11" a="1"/>
  <c r="Q81" i="11" a="1"/>
  <c r="P81" i="11" a="1"/>
  <c r="O81" i="11" a="1"/>
  <c r="N81" i="11" a="1"/>
  <c r="M81" i="11" a="1"/>
  <c r="L81" i="11" a="1"/>
  <c r="K81" i="11" a="1"/>
  <c r="J81" i="11" a="1"/>
  <c r="I81" i="11" a="1"/>
  <c r="X80" i="11" a="1"/>
  <c r="W80" i="11" a="1"/>
  <c r="V80" i="11" a="1"/>
  <c r="U80" i="11" a="1"/>
  <c r="T80" i="11" a="1"/>
  <c r="S80" i="11" a="1"/>
  <c r="R80" i="11" a="1"/>
  <c r="Q80" i="11" a="1"/>
  <c r="P80" i="11" a="1"/>
  <c r="O80" i="11" a="1"/>
  <c r="N80" i="11" a="1"/>
  <c r="M80" i="11" a="1"/>
  <c r="L80" i="11" a="1"/>
  <c r="K80" i="11" a="1"/>
  <c r="J80" i="11" a="1"/>
  <c r="I80" i="11" a="1"/>
  <c r="X79" i="11" a="1"/>
  <c r="W79" i="11" a="1"/>
  <c r="V79" i="11" a="1"/>
  <c r="U79" i="11" a="1"/>
  <c r="T79" i="11" a="1"/>
  <c r="S79" i="11" a="1"/>
  <c r="R79" i="11" a="1"/>
  <c r="Q79" i="11" a="1"/>
  <c r="P79" i="11" a="1"/>
  <c r="O79" i="11" a="1"/>
  <c r="N79" i="11" a="1"/>
  <c r="M79" i="11" a="1"/>
  <c r="L79" i="11" a="1"/>
  <c r="K79" i="11" a="1"/>
  <c r="J79" i="11" a="1"/>
  <c r="I79" i="11" a="1"/>
  <c r="X78" i="11" a="1"/>
  <c r="W78" i="11" a="1"/>
  <c r="V78" i="11" a="1"/>
  <c r="U78" i="11" a="1"/>
  <c r="T78" i="11" a="1"/>
  <c r="S78" i="11" a="1"/>
  <c r="R78" i="11" a="1"/>
  <c r="Q78" i="11" a="1"/>
  <c r="P78" i="11" a="1"/>
  <c r="O78" i="11" a="1"/>
  <c r="N78" i="11" a="1"/>
  <c r="M78" i="11" a="1"/>
  <c r="L78" i="11" a="1"/>
  <c r="K78" i="11" a="1"/>
  <c r="J78" i="11" a="1"/>
  <c r="I78" i="11" a="1"/>
  <c r="X77" i="11" a="1"/>
  <c r="W77" i="11" a="1"/>
  <c r="V77" i="11" a="1"/>
  <c r="U77" i="11" a="1"/>
  <c r="T77" i="11" a="1"/>
  <c r="S77" i="11" a="1"/>
  <c r="R77" i="11" a="1"/>
  <c r="Q77" i="11" a="1"/>
  <c r="P77" i="11" a="1"/>
  <c r="O77" i="11" a="1"/>
  <c r="N77" i="11" a="1"/>
  <c r="M77" i="11" a="1"/>
  <c r="L77" i="11" a="1"/>
  <c r="K77" i="11" a="1"/>
  <c r="I77" i="11" a="1"/>
  <c r="X76" i="11" a="1"/>
  <c r="W76" i="11" a="1"/>
  <c r="V76" i="11" a="1"/>
  <c r="U76" i="11" a="1"/>
  <c r="T76" i="11" a="1"/>
  <c r="S76" i="11" a="1"/>
  <c r="R76" i="11" a="1"/>
  <c r="Q76" i="11" a="1"/>
  <c r="P76" i="11" a="1"/>
  <c r="O76" i="11" a="1"/>
  <c r="N76" i="11" a="1"/>
  <c r="M76" i="11" a="1"/>
  <c r="L76" i="11" a="1"/>
  <c r="K76" i="11" a="1"/>
  <c r="J76" i="11" a="1"/>
  <c r="I76" i="11" a="1"/>
  <c r="X75" i="11" a="1"/>
  <c r="W75" i="11" a="1"/>
  <c r="V75" i="11" a="1"/>
  <c r="U75" i="11" a="1"/>
  <c r="T75" i="11" a="1"/>
  <c r="S75" i="11" a="1"/>
  <c r="R75" i="11" a="1"/>
  <c r="Q75" i="11" a="1"/>
  <c r="P75" i="11" a="1"/>
  <c r="O75" i="11" a="1"/>
  <c r="N75" i="11" a="1"/>
  <c r="M75" i="11" a="1"/>
  <c r="L75" i="11" a="1"/>
  <c r="K75" i="11" a="1"/>
  <c r="J75" i="11" a="1"/>
  <c r="I75" i="11" a="1"/>
  <c r="X74" i="11" a="1"/>
  <c r="W74" i="11" a="1"/>
  <c r="V74" i="11" a="1"/>
  <c r="U74" i="11" a="1"/>
  <c r="T74" i="11" a="1"/>
  <c r="S74" i="11" a="1"/>
  <c r="R74" i="11" a="1"/>
  <c r="Q74" i="11" a="1"/>
  <c r="P74" i="11" a="1"/>
  <c r="O74" i="11" a="1"/>
  <c r="N74" i="11" a="1"/>
  <c r="M74" i="11" a="1"/>
  <c r="L74" i="11" a="1"/>
  <c r="K74" i="11" a="1"/>
  <c r="J74" i="11" a="1"/>
  <c r="I74" i="11" a="1"/>
  <c r="X73" i="11" a="1"/>
  <c r="W73" i="11" a="1"/>
  <c r="V73" i="11" a="1"/>
  <c r="U73" i="11" a="1"/>
  <c r="T73" i="11" a="1"/>
  <c r="S73" i="11" a="1"/>
  <c r="R73" i="11" a="1"/>
  <c r="Q73" i="11" a="1"/>
  <c r="P73" i="11" a="1"/>
  <c r="O73" i="11" a="1"/>
  <c r="N73" i="11" a="1"/>
  <c r="M73" i="11" a="1"/>
  <c r="L73" i="11" a="1"/>
  <c r="K73" i="11" a="1"/>
  <c r="J73" i="11" a="1"/>
  <c r="I73" i="11" a="1"/>
  <c r="X72" i="11" a="1"/>
  <c r="W72" i="11" a="1"/>
  <c r="V72" i="11" a="1"/>
  <c r="U72" i="11" a="1"/>
  <c r="T72" i="11" a="1"/>
  <c r="S72" i="11" a="1"/>
  <c r="R72" i="11" a="1"/>
  <c r="Q72" i="11" a="1"/>
  <c r="P72" i="11" a="1"/>
  <c r="O72" i="11" a="1"/>
  <c r="N72" i="11" a="1"/>
  <c r="M72" i="11" a="1"/>
  <c r="L72" i="11" a="1"/>
  <c r="I72" i="11" a="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X69" i="11"/>
  <c r="W69" i="11"/>
  <c r="V69" i="11"/>
  <c r="U69" i="11"/>
  <c r="T69" i="11"/>
  <c r="S69" i="11"/>
  <c r="R69" i="11"/>
  <c r="Q69" i="11"/>
  <c r="P69" i="11"/>
  <c r="O69" i="11"/>
  <c r="O56" i="11" s="1" a="1"/>
  <c r="Q35" i="2" s="1"/>
  <c r="N69" i="11"/>
  <c r="N56" i="11" s="1" a="1"/>
  <c r="P35" i="2" s="1"/>
  <c r="M69" i="11"/>
  <c r="M56" i="11" s="1" a="1"/>
  <c r="O35" i="2" s="1"/>
  <c r="L69" i="11"/>
  <c r="L56" i="11" s="1" a="1"/>
  <c r="F35" i="2" s="1"/>
  <c r="K69" i="11"/>
  <c r="K56" i="11" s="1" a="1"/>
  <c r="E35" i="2" s="1"/>
  <c r="J69" i="11"/>
  <c r="J56" i="11" s="1" a="1"/>
  <c r="D35" i="2" s="1"/>
  <c r="I69" i="11"/>
  <c r="I56" i="11" s="1" a="1"/>
  <c r="C35" i="2" s="1"/>
  <c r="H7" i="2" s="1"/>
  <c r="X68" i="11"/>
  <c r="X56" i="11" s="1" a="1"/>
  <c r="AN35" i="2" s="1"/>
  <c r="W68" i="11"/>
  <c r="W56" i="11" s="1" a="1"/>
  <c r="AM35" i="2" s="1"/>
  <c r="V68" i="11"/>
  <c r="V56" i="11" s="1" a="1"/>
  <c r="AL35" i="2" s="1"/>
  <c r="U68" i="11"/>
  <c r="U56" i="11" s="1" a="1"/>
  <c r="AK35" i="2" s="1"/>
  <c r="AP7" i="2" s="1"/>
  <c r="T68" i="11"/>
  <c r="T56" i="11" s="1" a="1"/>
  <c r="AD35" i="2" s="1"/>
  <c r="S68" i="11"/>
  <c r="S56" i="11" s="1" a="1"/>
  <c r="AC35" i="2" s="1"/>
  <c r="R68" i="11"/>
  <c r="R56" i="11" s="1" a="1"/>
  <c r="AB35" i="2" s="1"/>
  <c r="Q68" i="11"/>
  <c r="Q56" i="11" s="1" a="1"/>
  <c r="AA35" i="2" s="1"/>
  <c r="P68" i="11"/>
  <c r="P56" i="11" s="1" a="1"/>
  <c r="R35" i="2" s="1"/>
  <c r="O68" i="11"/>
  <c r="N68" i="11"/>
  <c r="M68" i="11"/>
  <c r="L68" i="11"/>
  <c r="K68" i="11"/>
  <c r="J68" i="11"/>
  <c r="I68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J51" i="11" s="1" a="1"/>
  <c r="D32" i="2" s="1"/>
  <c r="I61" i="11"/>
  <c r="X60" i="11"/>
  <c r="X51" i="11" s="1" a="1"/>
  <c r="W60" i="11"/>
  <c r="W51" i="11" s="1" a="1"/>
  <c r="V60" i="11"/>
  <c r="U60" i="11"/>
  <c r="T60" i="11"/>
  <c r="S60" i="11"/>
  <c r="R60" i="11"/>
  <c r="Q60" i="11"/>
  <c r="P60" i="11"/>
  <c r="O60" i="11"/>
  <c r="N60" i="11"/>
  <c r="M60" i="11"/>
  <c r="P52" i="11" s="1" a="1"/>
  <c r="L60" i="11"/>
  <c r="O52" i="11" s="1" a="1"/>
  <c r="K60" i="11"/>
  <c r="J60" i="11"/>
  <c r="M52" i="11" s="1" a="1"/>
  <c r="I60" i="11"/>
  <c r="V51" i="11" a="1"/>
  <c r="U51" i="11" a="1"/>
  <c r="T51" i="11" a="1"/>
  <c r="S51" i="11" a="1"/>
  <c r="R51" i="11" a="1"/>
  <c r="Q51" i="11" a="1"/>
  <c r="P51" i="11" a="1"/>
  <c r="O51" i="11" a="1"/>
  <c r="N51" i="11" a="1"/>
  <c r="M51" i="11" a="1"/>
  <c r="L51" i="11" a="1"/>
  <c r="K51" i="11" a="1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C12" i="14"/>
  <c r="C11" i="14"/>
  <c r="C10" i="14"/>
  <c r="C9" i="14"/>
  <c r="C8" i="14"/>
  <c r="K44" i="1"/>
  <c r="D35" i="1"/>
  <c r="D43" i="1" s="1"/>
  <c r="K42" i="2" s="1"/>
  <c r="C35" i="1"/>
  <c r="C43" i="1" s="1"/>
  <c r="J42" i="2" s="1"/>
  <c r="B35" i="1"/>
  <c r="B43" i="1" s="1"/>
  <c r="I42" i="2" s="1"/>
  <c r="M28" i="1"/>
  <c r="M52" i="3" s="1"/>
  <c r="M27" i="1"/>
  <c r="H27" i="1"/>
  <c r="A27" i="1"/>
  <c r="H26" i="1"/>
  <c r="H25" i="1"/>
  <c r="H24" i="1"/>
  <c r="H23" i="1"/>
  <c r="X19" i="1"/>
  <c r="W19" i="1"/>
  <c r="R44" i="3" s="1"/>
  <c r="V19" i="1"/>
  <c r="U19" i="1"/>
  <c r="S44" i="3" s="1"/>
  <c r="T19" i="1"/>
  <c r="Q44" i="3" s="1"/>
  <c r="R19" i="1"/>
  <c r="O44" i="3" s="1"/>
  <c r="Q19" i="1"/>
  <c r="P19" i="1"/>
  <c r="X18" i="1"/>
  <c r="W18" i="1"/>
  <c r="R43" i="3" s="1"/>
  <c r="V18" i="1"/>
  <c r="U18" i="1"/>
  <c r="S43" i="3" s="1"/>
  <c r="T18" i="1"/>
  <c r="Q43" i="3" s="1"/>
  <c r="R18" i="1"/>
  <c r="O43" i="3" s="1"/>
  <c r="Q18" i="1"/>
  <c r="P18" i="1"/>
  <c r="X17" i="1"/>
  <c r="W17" i="1"/>
  <c r="R42" i="3" s="1"/>
  <c r="V17" i="1"/>
  <c r="U17" i="1"/>
  <c r="S42" i="3" s="1"/>
  <c r="T17" i="1"/>
  <c r="Q42" i="3" s="1"/>
  <c r="R17" i="1"/>
  <c r="Q17" i="1"/>
  <c r="P17" i="1"/>
  <c r="H60" i="2" a="1"/>
  <c r="H42" i="2"/>
  <c r="W37" i="2"/>
  <c r="V37" i="2"/>
  <c r="U37" i="2"/>
  <c r="K35" i="2"/>
  <c r="J35" i="2"/>
  <c r="I35" i="2"/>
  <c r="AN32" i="2"/>
  <c r="AM32" i="2"/>
  <c r="AL32" i="2"/>
  <c r="AK32" i="2"/>
  <c r="AD32" i="2"/>
  <c r="AC32" i="2"/>
  <c r="AB32" i="2"/>
  <c r="AA32" i="2"/>
  <c r="R32" i="2"/>
  <c r="Q32" i="2"/>
  <c r="P32" i="2"/>
  <c r="O32" i="2"/>
  <c r="F32" i="2"/>
  <c r="E32" i="2"/>
  <c r="M31" i="2" a="1"/>
  <c r="L31" i="2" a="1"/>
  <c r="K31" i="2" a="1"/>
  <c r="J31" i="2" a="1"/>
  <c r="I31" i="2" a="1"/>
  <c r="H31" i="2" a="1"/>
  <c r="G31" i="2"/>
  <c r="S31" i="2" s="1"/>
  <c r="C31" i="2"/>
  <c r="L30" i="2" a="1"/>
  <c r="K30" i="2" a="1"/>
  <c r="J30" i="2" a="1"/>
  <c r="I30" i="2" a="1"/>
  <c r="H30" i="2" a="1"/>
  <c r="G30" i="2"/>
  <c r="J29" i="2" a="1"/>
  <c r="I29" i="2" a="1"/>
  <c r="H29" i="2" a="1"/>
  <c r="G29" i="2"/>
  <c r="J28" i="2" a="1"/>
  <c r="I28" i="2" a="1"/>
  <c r="G28" i="2"/>
  <c r="H28" i="2" s="1" a="1"/>
  <c r="K27" i="2" a="1"/>
  <c r="J27" i="2" a="1"/>
  <c r="I27" i="2" a="1"/>
  <c r="H27" i="2" a="1"/>
  <c r="G27" i="2"/>
  <c r="C26" i="2"/>
  <c r="C29" i="2" s="1"/>
  <c r="AN22" i="2" a="1"/>
  <c r="AM22" i="2" a="1"/>
  <c r="AL22" i="2" a="1"/>
  <c r="AK22" i="2" a="1"/>
  <c r="AD22" i="2" a="1"/>
  <c r="AC22" i="2" a="1"/>
  <c r="AB22" i="2" a="1"/>
  <c r="AA22" i="2" a="1"/>
  <c r="R22" i="2" a="1"/>
  <c r="Q22" i="2" a="1"/>
  <c r="P22" i="2" a="1"/>
  <c r="O22" i="2" a="1"/>
  <c r="F22" i="2" a="1"/>
  <c r="E22" i="2" a="1"/>
  <c r="D22" i="2" a="1"/>
  <c r="C22" i="2" a="1"/>
  <c r="AP19" i="2"/>
  <c r="AF19" i="2"/>
  <c r="T19" i="2"/>
  <c r="H19" i="2"/>
  <c r="AP18" i="2"/>
  <c r="AF18" i="2"/>
  <c r="T18" i="2"/>
  <c r="H18" i="2"/>
  <c r="AP17" i="2"/>
  <c r="AF17" i="2"/>
  <c r="T17" i="2"/>
  <c r="H17" i="2"/>
  <c r="AR16" i="2"/>
  <c r="AP16" i="2"/>
  <c r="AH16" i="2"/>
  <c r="AF16" i="2"/>
  <c r="V16" i="2"/>
  <c r="T16" i="2"/>
  <c r="J16" i="2"/>
  <c r="H16" i="2"/>
  <c r="AN15" i="2"/>
  <c r="AM15" i="2"/>
  <c r="AL15" i="2"/>
  <c r="AK15" i="2"/>
  <c r="AD15" i="2"/>
  <c r="AC15" i="2"/>
  <c r="AB15" i="2"/>
  <c r="AA15" i="2"/>
  <c r="R15" i="2"/>
  <c r="Q15" i="2"/>
  <c r="P15" i="2"/>
  <c r="O15" i="2"/>
  <c r="F15" i="2"/>
  <c r="E15" i="2"/>
  <c r="D15" i="2"/>
  <c r="C15" i="2"/>
  <c r="AP14" i="2"/>
  <c r="AF14" i="2"/>
  <c r="T14" i="2"/>
  <c r="H14" i="2"/>
  <c r="AP13" i="2"/>
  <c r="AF13" i="2"/>
  <c r="T13" i="2"/>
  <c r="H13" i="2"/>
  <c r="AP12" i="2"/>
  <c r="AF12" i="2"/>
  <c r="T12" i="2"/>
  <c r="H12" i="2"/>
  <c r="AP11" i="2"/>
  <c r="AF11" i="2"/>
  <c r="T11" i="2"/>
  <c r="H11" i="2"/>
  <c r="C11" i="2"/>
  <c r="AN8" i="2"/>
  <c r="AM8" i="2"/>
  <c r="AL8" i="2"/>
  <c r="AK8" i="2"/>
  <c r="AR11" i="2" s="1"/>
  <c r="AD8" i="2"/>
  <c r="AC8" i="2"/>
  <c r="AB8" i="2"/>
  <c r="AA8" i="2"/>
  <c r="AH11" i="2" s="1"/>
  <c r="R8" i="2"/>
  <c r="Q8" i="2"/>
  <c r="P8" i="2"/>
  <c r="O8" i="2"/>
  <c r="V11" i="2" s="1"/>
  <c r="F8" i="2"/>
  <c r="E8" i="2"/>
  <c r="D8" i="2"/>
  <c r="J11" i="2" s="1"/>
  <c r="AN7" i="2"/>
  <c r="AM7" i="2"/>
  <c r="AL7" i="2"/>
  <c r="AK7" i="2"/>
  <c r="AD7" i="2"/>
  <c r="AC7" i="2"/>
  <c r="AB7" i="2"/>
  <c r="AA7" i="2"/>
  <c r="R7" i="2"/>
  <c r="Q7" i="2"/>
  <c r="P7" i="2"/>
  <c r="O7" i="2"/>
  <c r="F7" i="2"/>
  <c r="E7" i="2"/>
  <c r="D7" i="2"/>
  <c r="AR6" i="2"/>
  <c r="AP6" i="2"/>
  <c r="AH6" i="2"/>
  <c r="AF6" i="2"/>
  <c r="H6" i="2"/>
  <c r="AP5" i="2"/>
  <c r="AF5" i="2"/>
  <c r="T5" i="2"/>
  <c r="H5" i="2"/>
  <c r="AP4" i="2"/>
  <c r="AN4" i="2"/>
  <c r="AM4" i="2"/>
  <c r="AL4" i="2"/>
  <c r="AK4" i="2"/>
  <c r="AR9" i="2" s="1"/>
  <c r="AF4" i="2"/>
  <c r="AD4" i="2"/>
  <c r="AC4" i="2"/>
  <c r="AB4" i="2"/>
  <c r="AA4" i="2"/>
  <c r="AH9" i="2" s="1"/>
  <c r="T4" i="2"/>
  <c r="R4" i="2"/>
  <c r="Q4" i="2"/>
  <c r="P4" i="2"/>
  <c r="O4" i="2"/>
  <c r="V9" i="2" s="1"/>
  <c r="H4" i="2"/>
  <c r="F4" i="2"/>
  <c r="E4" i="2"/>
  <c r="D4" i="2"/>
  <c r="C4" i="2"/>
  <c r="J9" i="2" s="1"/>
  <c r="C2" i="2"/>
  <c r="C5" i="2" s="1"/>
  <c r="K67" i="2" l="1"/>
  <c r="K60" i="2" a="1"/>
  <c r="Y35" i="6"/>
  <c r="U26" i="1"/>
  <c r="V26" i="1" s="1"/>
  <c r="U25" i="1"/>
  <c r="V25" i="1" s="1"/>
  <c r="U24" i="1"/>
  <c r="V24" i="1" s="1"/>
  <c r="G27" i="5"/>
  <c r="S24" i="3" a="1"/>
  <c r="F27" i="5"/>
  <c r="S23" i="3" a="1"/>
  <c r="R23" i="3" a="1"/>
  <c r="E27" i="5"/>
  <c r="S22" i="3" a="1"/>
  <c r="D27" i="5"/>
  <c r="S21" i="3" a="1"/>
  <c r="C27" i="5"/>
  <c r="S20" i="3" a="1"/>
  <c r="S29" i="2"/>
  <c r="L29" i="2" a="1"/>
  <c r="M29" i="2" a="1"/>
  <c r="K29" i="2" a="1"/>
  <c r="T7" i="2"/>
  <c r="AF7" i="2"/>
  <c r="N52" i="11" a="1"/>
  <c r="C50" i="2"/>
  <c r="D11" i="2"/>
  <c r="E11" i="2" s="1"/>
  <c r="F11" i="2" s="1"/>
  <c r="L17" i="5" a="1"/>
  <c r="L17" i="5" s="1"/>
  <c r="K17" i="5" a="1"/>
  <c r="K16" i="5" a="1"/>
  <c r="J17" i="5" a="1"/>
  <c r="J17" i="5" s="1"/>
  <c r="I17" i="5" a="1"/>
  <c r="I17" i="5" s="1"/>
  <c r="H17" i="5" a="1"/>
  <c r="H17" i="5" s="1"/>
  <c r="Q52" i="3"/>
  <c r="R52" i="3"/>
  <c r="Q53" i="3"/>
  <c r="R53" i="3"/>
  <c r="O9" i="7"/>
  <c r="L9" i="7"/>
  <c r="I9" i="7"/>
  <c r="O8" i="7"/>
  <c r="L8" i="7"/>
  <c r="I8" i="7"/>
  <c r="O7" i="7"/>
  <c r="L7" i="7"/>
  <c r="I7" i="7"/>
  <c r="O6" i="7"/>
  <c r="L6" i="7"/>
  <c r="I6" i="7"/>
  <c r="O5" i="7"/>
  <c r="L5" i="7"/>
  <c r="I5" i="7"/>
  <c r="O4" i="7"/>
  <c r="L4" i="7"/>
  <c r="I4" i="7"/>
  <c r="O3" i="7"/>
  <c r="L3" i="7"/>
  <c r="I3" i="7"/>
  <c r="O2" i="7"/>
  <c r="L2" i="7"/>
  <c r="I2" i="7"/>
  <c r="I47" i="7"/>
  <c r="O49" i="7"/>
  <c r="L49" i="7"/>
  <c r="I49" i="7"/>
  <c r="O48" i="7"/>
  <c r="L48" i="7"/>
  <c r="I48" i="7"/>
  <c r="O47" i="7"/>
  <c r="L47" i="7"/>
  <c r="O46" i="7"/>
  <c r="L46" i="7"/>
  <c r="I46" i="7"/>
  <c r="O45" i="7"/>
  <c r="L45" i="7"/>
  <c r="I45" i="7"/>
  <c r="O44" i="7"/>
  <c r="L44" i="7"/>
  <c r="I44" i="7"/>
  <c r="O43" i="7"/>
  <c r="L43" i="7"/>
  <c r="I43" i="7"/>
  <c r="O42" i="7"/>
  <c r="L42" i="7"/>
  <c r="I42" i="7"/>
  <c r="O41" i="7"/>
  <c r="L41" i="7"/>
  <c r="I41" i="7"/>
  <c r="O40" i="7"/>
  <c r="L40" i="7"/>
  <c r="I40" i="7"/>
  <c r="O39" i="7"/>
  <c r="L39" i="7"/>
  <c r="I39" i="7"/>
  <c r="O38" i="7"/>
  <c r="L38" i="7"/>
  <c r="I38" i="7"/>
  <c r="O37" i="7"/>
  <c r="L37" i="7"/>
  <c r="I37" i="7"/>
  <c r="O36" i="7"/>
  <c r="L36" i="7"/>
  <c r="I36" i="7"/>
  <c r="O35" i="7"/>
  <c r="L35" i="7"/>
  <c r="L13" i="7"/>
  <c r="I35" i="7"/>
  <c r="O34" i="7"/>
  <c r="L34" i="7"/>
  <c r="I34" i="7"/>
  <c r="O33" i="7"/>
  <c r="L33" i="7"/>
  <c r="I33" i="7"/>
  <c r="O32" i="7"/>
  <c r="L32" i="7"/>
  <c r="I32" i="7"/>
  <c r="O31" i="7"/>
  <c r="L31" i="7"/>
  <c r="I31" i="7"/>
  <c r="O30" i="7"/>
  <c r="L30" i="7"/>
  <c r="I30" i="7"/>
  <c r="O29" i="7"/>
  <c r="L29" i="7"/>
  <c r="I29" i="7"/>
  <c r="O28" i="7"/>
  <c r="L28" i="7"/>
  <c r="I28" i="7"/>
  <c r="O27" i="7"/>
  <c r="L27" i="7"/>
  <c r="I27" i="7"/>
  <c r="O26" i="7"/>
  <c r="L26" i="7"/>
  <c r="I26" i="7"/>
  <c r="O25" i="7"/>
  <c r="L25" i="7"/>
  <c r="I25" i="7"/>
  <c r="O24" i="7"/>
  <c r="L24" i="7"/>
  <c r="I24" i="7"/>
  <c r="O23" i="7"/>
  <c r="L23" i="7"/>
  <c r="I23" i="7"/>
  <c r="O22" i="7"/>
  <c r="L22" i="7"/>
  <c r="I22" i="7"/>
  <c r="O21" i="7"/>
  <c r="L21" i="7"/>
  <c r="M51" i="3"/>
  <c r="I21" i="7"/>
  <c r="O20" i="7"/>
  <c r="L20" i="7"/>
  <c r="I20" i="7"/>
  <c r="O19" i="7"/>
  <c r="L19" i="7"/>
  <c r="I19" i="7"/>
  <c r="O18" i="7"/>
  <c r="L18" i="7"/>
  <c r="I18" i="7"/>
  <c r="O17" i="7"/>
  <c r="L17" i="7"/>
  <c r="I17" i="7"/>
  <c r="O16" i="7"/>
  <c r="L16" i="7"/>
  <c r="I16" i="7"/>
  <c r="O15" i="7"/>
  <c r="L15" i="7"/>
  <c r="I15" i="7"/>
  <c r="O14" i="7"/>
  <c r="L14" i="7"/>
  <c r="I14" i="7"/>
  <c r="O13" i="7"/>
  <c r="I13" i="7"/>
  <c r="O12" i="7"/>
  <c r="L12" i="7"/>
  <c r="I12" i="7"/>
  <c r="O11" i="7"/>
  <c r="L11" i="7"/>
  <c r="I11" i="7"/>
  <c r="O10" i="7"/>
  <c r="L10" i="7"/>
  <c r="I10" i="7"/>
  <c r="H51" i="3"/>
  <c r="B40" i="1"/>
  <c r="I40" i="2" s="1"/>
  <c r="U42" i="2" s="1"/>
  <c r="D40" i="1"/>
  <c r="K40" i="2" s="1"/>
  <c r="W42" i="2" s="1"/>
  <c r="C40" i="1"/>
  <c r="J40" i="2" s="1"/>
  <c r="V42" i="2" s="1"/>
  <c r="A40" i="1"/>
  <c r="A51" i="3"/>
  <c r="B26" i="5" s="1"/>
  <c r="H50" i="3"/>
  <c r="B39" i="1"/>
  <c r="I39" i="2" s="1"/>
  <c r="U41" i="2" s="1"/>
  <c r="C39" i="1"/>
  <c r="J39" i="2" s="1"/>
  <c r="V41" i="2" s="1"/>
  <c r="D39" i="1"/>
  <c r="K39" i="2" s="1"/>
  <c r="W41" i="2" s="1"/>
  <c r="H49" i="3"/>
  <c r="B38" i="1"/>
  <c r="I38" i="2" s="1"/>
  <c r="U40" i="2" s="1"/>
  <c r="C38" i="1"/>
  <c r="J38" i="2" s="1"/>
  <c r="V40" i="2" s="1"/>
  <c r="D38" i="1"/>
  <c r="K38" i="2" s="1"/>
  <c r="W40" i="2" s="1"/>
  <c r="H48" i="3"/>
  <c r="C37" i="1"/>
  <c r="J37" i="2" s="1"/>
  <c r="V39" i="2" s="1"/>
  <c r="D37" i="1"/>
  <c r="K37" i="2" s="1"/>
  <c r="W39" i="2" s="1"/>
  <c r="B37" i="1"/>
  <c r="I37" i="2" s="1"/>
  <c r="U39" i="2" s="1"/>
  <c r="H47" i="3"/>
  <c r="D36" i="1"/>
  <c r="K36" i="2" s="1"/>
  <c r="W38" i="2" s="1"/>
  <c r="C36" i="1"/>
  <c r="J36" i="2" s="1"/>
  <c r="V38" i="2" s="1"/>
  <c r="B36" i="1"/>
  <c r="I36" i="2" s="1"/>
  <c r="U38" i="2" s="1"/>
  <c r="D47" i="1"/>
  <c r="K46" i="2" s="1"/>
  <c r="D44" i="1"/>
  <c r="K43" i="2" s="1"/>
  <c r="D45" i="1"/>
  <c r="K44" i="2" s="1"/>
  <c r="D46" i="1"/>
  <c r="K45" i="2" s="1"/>
  <c r="D48" i="1"/>
  <c r="K47" i="2" s="1"/>
  <c r="N44" i="3"/>
  <c r="P18" i="5"/>
  <c r="S19" i="1"/>
  <c r="P44" i="3" s="1"/>
  <c r="C46" i="1"/>
  <c r="J45" i="2" s="1"/>
  <c r="C45" i="1"/>
  <c r="J44" i="2" s="1"/>
  <c r="C47" i="1"/>
  <c r="J46" i="2" s="1"/>
  <c r="C44" i="1"/>
  <c r="J43" i="2" s="1"/>
  <c r="C48" i="1"/>
  <c r="J47" i="2" s="1"/>
  <c r="O18" i="5"/>
  <c r="N43" i="3"/>
  <c r="B56" i="3" s="1"/>
  <c r="S18" i="1"/>
  <c r="P43" i="3" s="1"/>
  <c r="O42" i="3"/>
  <c r="R28" i="1"/>
  <c r="S28" i="1" s="1"/>
  <c r="B47" i="1"/>
  <c r="I46" i="2" s="1"/>
  <c r="B46" i="1"/>
  <c r="I45" i="2" s="1"/>
  <c r="B44" i="1"/>
  <c r="I43" i="2" s="1"/>
  <c r="B45" i="1"/>
  <c r="I44" i="2" s="1"/>
  <c r="B48" i="1"/>
  <c r="I47" i="2" s="1"/>
  <c r="N42" i="3"/>
  <c r="N18" i="5"/>
  <c r="S17" i="1"/>
  <c r="P42" i="3" s="1"/>
  <c r="T31" i="2" a="1"/>
  <c r="Y33" i="2" a="1"/>
  <c r="T79" i="2"/>
  <c r="W33" i="2" a="1"/>
  <c r="X33" i="2" a="1"/>
  <c r="V31" i="2" a="1"/>
  <c r="U31" i="2" a="1"/>
  <c r="S30" i="2"/>
  <c r="M30" i="2" a="1"/>
  <c r="S27" i="2"/>
  <c r="L27" i="2" a="1"/>
  <c r="M27" i="2" a="1"/>
  <c r="Y27" i="6"/>
  <c r="Y18" i="6"/>
  <c r="Y36" i="6"/>
  <c r="Y28" i="6"/>
  <c r="Y24" i="6"/>
  <c r="Y17" i="6"/>
  <c r="Y9" i="6"/>
  <c r="Y3" i="6"/>
  <c r="Y38" i="6"/>
  <c r="Y29" i="6"/>
  <c r="Y25" i="6"/>
  <c r="Y19" i="6"/>
  <c r="Y12" i="6"/>
  <c r="Y6" i="6"/>
  <c r="Y39" i="6"/>
  <c r="Y30" i="6"/>
  <c r="Y22" i="6"/>
  <c r="Y13" i="6"/>
  <c r="Y8" i="6"/>
  <c r="Y41" i="6"/>
  <c r="Y33" i="6"/>
  <c r="Y26" i="6"/>
  <c r="Y23" i="6"/>
  <c r="Y16" i="6"/>
  <c r="Y11" i="6"/>
  <c r="Y5" i="6"/>
  <c r="AA3" i="6" s="1" a="1"/>
  <c r="AB3" i="6" s="1" a="1"/>
  <c r="Y37" i="6"/>
  <c r="Y32" i="6"/>
  <c r="Y21" i="6"/>
  <c r="Y14" i="6"/>
  <c r="Y7" i="6"/>
  <c r="Y40" i="6"/>
  <c r="Y31" i="6"/>
  <c r="Y20" i="6"/>
  <c r="Y15" i="6"/>
  <c r="Y10" i="6"/>
  <c r="Y4" i="6"/>
  <c r="Y42" i="6"/>
  <c r="Y34" i="6"/>
  <c r="K8" i="10"/>
  <c r="K7" i="10"/>
  <c r="K6" i="10"/>
  <c r="K5" i="10"/>
  <c r="A26" i="1"/>
  <c r="A25" i="1"/>
  <c r="A24" i="1"/>
  <c r="A23" i="1"/>
  <c r="X32" i="2" a="1"/>
  <c r="T78" i="2"/>
  <c r="V30" i="2" a="1"/>
  <c r="Y32" i="2" a="1"/>
  <c r="W32" i="2" a="1"/>
  <c r="U30" i="2" a="1"/>
  <c r="Y31" i="2" a="1"/>
  <c r="T77" i="2"/>
  <c r="T29" i="2" a="1"/>
  <c r="W31" i="2" a="1"/>
  <c r="X31" i="2" a="1"/>
  <c r="U29" i="2" a="1"/>
  <c r="V29" i="2" a="1"/>
  <c r="S28" i="2"/>
  <c r="M28" i="2" a="1"/>
  <c r="L28" i="2" a="1"/>
  <c r="K28" i="2" a="1"/>
  <c r="T27" i="2" a="1"/>
  <c r="X29" i="2" a="1"/>
  <c r="W29" i="2" a="1"/>
  <c r="Y29" i="2" a="1"/>
  <c r="V27" i="2" a="1"/>
  <c r="U27" i="2" a="1"/>
  <c r="T75" i="2"/>
  <c r="K57" i="2"/>
  <c r="K63" i="2"/>
  <c r="K62" i="2"/>
  <c r="K69" i="2"/>
  <c r="K68" i="2"/>
  <c r="K65" i="2"/>
  <c r="K56" i="2"/>
  <c r="K61" i="2"/>
  <c r="K58" i="2"/>
  <c r="K55" i="2"/>
  <c r="K70" i="2"/>
  <c r="K54" i="2"/>
  <c r="K71" i="2"/>
  <c r="K64" i="2"/>
  <c r="K72" i="2"/>
  <c r="N2" i="5" a="1"/>
  <c r="I51" i="11" a="1"/>
  <c r="C16" i="2"/>
  <c r="C51" i="2" l="1" a="1"/>
  <c r="C13" i="14"/>
  <c r="D8" i="14"/>
  <c r="W79" i="2"/>
  <c r="H26" i="5"/>
  <c r="H40" i="2"/>
  <c r="T42" i="2" s="1"/>
  <c r="A48" i="1"/>
  <c r="H47" i="2" s="1"/>
  <c r="W78" i="2"/>
  <c r="H25" i="5"/>
  <c r="H24" i="5"/>
  <c r="W77" i="2"/>
  <c r="H23" i="5"/>
  <c r="B57" i="3"/>
  <c r="W76" i="2"/>
  <c r="W75" i="2"/>
  <c r="H22" i="5"/>
  <c r="A39" i="1"/>
  <c r="A50" i="3"/>
  <c r="B25" i="5" s="1"/>
  <c r="A38" i="1"/>
  <c r="A49" i="3"/>
  <c r="B24" i="5" s="1"/>
  <c r="A37" i="1"/>
  <c r="A48" i="3"/>
  <c r="A36" i="1"/>
  <c r="A47" i="3"/>
  <c r="X30" i="2" a="1"/>
  <c r="W30" i="2" a="1"/>
  <c r="T28" i="2" a="1"/>
  <c r="T76" i="2"/>
  <c r="U28" i="2" a="1"/>
  <c r="Y30" i="2" a="1"/>
  <c r="V28" i="2" a="1"/>
  <c r="O42" i="2" a="1"/>
  <c r="AN42" i="2" a="1"/>
  <c r="R42" i="2" a="1"/>
  <c r="C42" i="2" a="1"/>
  <c r="AL42" i="2" a="1"/>
  <c r="AK42" i="2" a="1"/>
  <c r="AD42" i="2" a="1"/>
  <c r="D42" i="2" a="1"/>
  <c r="Q42" i="2" a="1"/>
  <c r="AC42" i="2" a="1"/>
  <c r="F42" i="2" a="1"/>
  <c r="AB42" i="2" a="1"/>
  <c r="E42" i="2" a="1"/>
  <c r="AM42" i="2" a="1"/>
  <c r="P42" i="2" a="1"/>
  <c r="AA42" i="2" a="1"/>
  <c r="C41" i="2" a="1"/>
  <c r="D41" i="2" a="1"/>
  <c r="E41" i="2" a="1"/>
  <c r="F41" i="2" a="1"/>
  <c r="O41" i="2" a="1"/>
  <c r="P41" i="2" a="1"/>
  <c r="Q41" i="2" a="1"/>
  <c r="R41" i="2" a="1"/>
  <c r="AN41" i="2" a="1"/>
  <c r="C40" i="2" a="1"/>
  <c r="D40" i="2" a="1"/>
  <c r="E40" i="2" a="1"/>
  <c r="F40" i="2" a="1"/>
  <c r="O40" i="2" a="1"/>
  <c r="P40" i="2" a="1"/>
  <c r="P45" i="2" s="1"/>
  <c r="Q40" i="2" a="1"/>
  <c r="R40" i="2" a="1"/>
  <c r="AA40" i="2" a="1"/>
  <c r="AB40" i="2" a="1"/>
  <c r="AC40" i="2" a="1"/>
  <c r="AD40" i="2" a="1"/>
  <c r="AK40" i="2" a="1"/>
  <c r="AL40" i="2" a="1"/>
  <c r="AM40" i="2" a="1"/>
  <c r="AN40" i="2" a="1"/>
  <c r="AA41" i="2" a="1"/>
  <c r="AB41" i="2" a="1"/>
  <c r="AC41" i="2" a="1"/>
  <c r="AD41" i="2" a="1"/>
  <c r="AK41" i="2" a="1"/>
  <c r="AL41" i="2" a="1"/>
  <c r="AM41" i="2" a="1"/>
  <c r="AF10" i="2" l="1"/>
  <c r="Q45" i="2"/>
  <c r="H10" i="2"/>
  <c r="D45" i="2"/>
  <c r="E45" i="2"/>
  <c r="F45" i="2"/>
  <c r="R45" i="2"/>
  <c r="D16" i="2"/>
  <c r="D50" i="2"/>
  <c r="H39" i="2"/>
  <c r="T41" i="2" s="1"/>
  <c r="A47" i="1"/>
  <c r="H46" i="2" s="1"/>
  <c r="A46" i="1"/>
  <c r="H45" i="2" s="1"/>
  <c r="H38" i="2"/>
  <c r="T40" i="2" s="1"/>
  <c r="A45" i="1"/>
  <c r="H44" i="2" s="1"/>
  <c r="H37" i="2"/>
  <c r="T39" i="2" s="1"/>
  <c r="E57" i="3" a="1"/>
  <c r="C57" i="3" s="1"/>
  <c r="D57" i="3" s="1"/>
  <c r="B23" i="5"/>
  <c r="A44" i="1"/>
  <c r="H43" i="2" s="1"/>
  <c r="H36" i="2"/>
  <c r="T38" i="2" s="1"/>
  <c r="B22" i="5"/>
  <c r="E56" i="3" a="1"/>
  <c r="AL45" i="2"/>
  <c r="AP8" i="2"/>
  <c r="AP10" i="2"/>
  <c r="T10" i="2"/>
  <c r="T8" i="2"/>
  <c r="AB45" i="2"/>
  <c r="AC45" i="2"/>
  <c r="AD45" i="2"/>
  <c r="AM45" i="2"/>
  <c r="AN45" i="2"/>
  <c r="AF8" i="2"/>
  <c r="H8" i="2"/>
  <c r="H9" i="2"/>
  <c r="C45" i="2"/>
  <c r="O45" i="2"/>
  <c r="T9" i="2"/>
  <c r="AF9" i="2"/>
  <c r="AA45" i="2"/>
  <c r="AK45" i="2"/>
  <c r="AP9" i="2"/>
  <c r="D13" i="14" l="1"/>
  <c r="S52" i="3"/>
  <c r="T52" i="3"/>
  <c r="S53" i="3"/>
  <c r="T53" i="3"/>
  <c r="C56" i="3"/>
  <c r="D56" i="3" s="1"/>
  <c r="AB42" i="6" l="1"/>
  <c r="AB41" i="6"/>
  <c r="AB40" i="6"/>
  <c r="AB39" i="6"/>
  <c r="AB38" i="6"/>
  <c r="AB37" i="6"/>
  <c r="AB36" i="6"/>
  <c r="AB35" i="6"/>
  <c r="AB34" i="6"/>
  <c r="AB33" i="6"/>
  <c r="AB32" i="6"/>
  <c r="AB31" i="6"/>
  <c r="AB30" i="6"/>
  <c r="AB29" i="6"/>
  <c r="AB28" i="6"/>
  <c r="AB27" i="6"/>
  <c r="AB26" i="6"/>
  <c r="AB25" i="6"/>
  <c r="AB24" i="6"/>
  <c r="AB23" i="6"/>
  <c r="AB22" i="6"/>
  <c r="AB21" i="6"/>
  <c r="AB20" i="6"/>
  <c r="AB19" i="6"/>
  <c r="AB18" i="6"/>
  <c r="AB17" i="6"/>
  <c r="AB16" i="6"/>
  <c r="AB15" i="6"/>
  <c r="AB14" i="6"/>
  <c r="AB13" i="6"/>
  <c r="AB12" i="6"/>
  <c r="AB11" i="6"/>
  <c r="AB10" i="6"/>
  <c r="AB9" i="6"/>
  <c r="AB8" i="6"/>
  <c r="AB7" i="6"/>
  <c r="AB6" i="6"/>
  <c r="AB5" i="6"/>
  <c r="AB4" i="6"/>
  <c r="AB3" i="6"/>
  <c r="AA42" i="6"/>
  <c r="AA41" i="6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25" i="6"/>
  <c r="AA24" i="6"/>
  <c r="AA23" i="6"/>
  <c r="AA22" i="6"/>
  <c r="AA21" i="6"/>
  <c r="AA20" i="6"/>
  <c r="AA19" i="6"/>
  <c r="AA18" i="6"/>
  <c r="AA17" i="6"/>
  <c r="AA16" i="6"/>
  <c r="AA15" i="6"/>
  <c r="AA14" i="6"/>
  <c r="AA13" i="6"/>
  <c r="AA12" i="6"/>
  <c r="AA11" i="6"/>
  <c r="AA10" i="6"/>
  <c r="AA9" i="6"/>
  <c r="AA8" i="6"/>
  <c r="AA7" i="6"/>
  <c r="AA6" i="6"/>
  <c r="AA5" i="6"/>
  <c r="AA4" i="6"/>
  <c r="AA3" i="6"/>
  <c r="K17" i="5"/>
  <c r="K16" i="5"/>
  <c r="P17" i="5"/>
  <c r="O17" i="5"/>
  <c r="N17" i="5"/>
  <c r="P16" i="5"/>
  <c r="O16" i="5"/>
  <c r="N16" i="5"/>
  <c r="P15" i="5"/>
  <c r="O15" i="5"/>
  <c r="N15" i="5"/>
  <c r="P14" i="5"/>
  <c r="O14" i="5"/>
  <c r="N14" i="5"/>
  <c r="P13" i="5"/>
  <c r="O13" i="5"/>
  <c r="N13" i="5"/>
  <c r="P12" i="5"/>
  <c r="O12" i="5"/>
  <c r="N12" i="5"/>
  <c r="P11" i="5"/>
  <c r="O11" i="5"/>
  <c r="N11" i="5"/>
  <c r="P10" i="5"/>
  <c r="O10" i="5"/>
  <c r="N10" i="5"/>
  <c r="P9" i="5"/>
  <c r="O9" i="5"/>
  <c r="N9" i="5"/>
  <c r="P8" i="5"/>
  <c r="O8" i="5"/>
  <c r="N8" i="5"/>
  <c r="P7" i="5"/>
  <c r="O7" i="5"/>
  <c r="N7" i="5"/>
  <c r="P6" i="5"/>
  <c r="O6" i="5"/>
  <c r="N6" i="5"/>
  <c r="P5" i="5"/>
  <c r="O5" i="5"/>
  <c r="N5" i="5"/>
  <c r="P4" i="5"/>
  <c r="O4" i="5"/>
  <c r="N4" i="5"/>
  <c r="P3" i="5"/>
  <c r="O3" i="5"/>
  <c r="N3" i="5"/>
  <c r="P2" i="5"/>
  <c r="O2" i="5"/>
  <c r="N2" i="5"/>
  <c r="J8" i="10"/>
  <c r="I8" i="10"/>
  <c r="H8" i="10"/>
  <c r="G8" i="10"/>
  <c r="F8" i="10"/>
  <c r="E8" i="10"/>
  <c r="D8" i="10"/>
  <c r="C8" i="10"/>
  <c r="B8" i="10"/>
  <c r="A8" i="10"/>
  <c r="J7" i="10"/>
  <c r="I7" i="10"/>
  <c r="H7" i="10"/>
  <c r="G7" i="10"/>
  <c r="F7" i="10"/>
  <c r="E7" i="10"/>
  <c r="D7" i="10"/>
  <c r="C7" i="10"/>
  <c r="B7" i="10"/>
  <c r="A7" i="10"/>
  <c r="J6" i="10"/>
  <c r="I6" i="10"/>
  <c r="H6" i="10"/>
  <c r="G6" i="10"/>
  <c r="F6" i="10"/>
  <c r="E6" i="10"/>
  <c r="D6" i="10"/>
  <c r="C6" i="10"/>
  <c r="B6" i="10"/>
  <c r="A6" i="10"/>
  <c r="J5" i="10"/>
  <c r="I5" i="10"/>
  <c r="H5" i="10"/>
  <c r="G5" i="10"/>
  <c r="F5" i="10"/>
  <c r="E5" i="10"/>
  <c r="D5" i="10"/>
  <c r="C5" i="10"/>
  <c r="B5" i="10"/>
  <c r="A5" i="10"/>
  <c r="E57" i="3"/>
  <c r="E56" i="3"/>
  <c r="S24" i="3"/>
  <c r="S23" i="3"/>
  <c r="R23" i="3"/>
  <c r="S22" i="3"/>
  <c r="S21" i="3"/>
  <c r="S20" i="3"/>
  <c r="X108" i="11"/>
  <c r="S18" i="3" s="1"/>
  <c r="W108" i="11"/>
  <c r="R18" i="3" s="1"/>
  <c r="V108" i="11"/>
  <c r="Q18" i="3" s="1"/>
  <c r="U108" i="11"/>
  <c r="P18" i="3" s="1"/>
  <c r="T108" i="11"/>
  <c r="O18" i="3" s="1"/>
  <c r="S108" i="11"/>
  <c r="N18" i="3" s="1"/>
  <c r="R108" i="11"/>
  <c r="M18" i="3" s="1"/>
  <c r="Q108" i="11"/>
  <c r="L18" i="3" s="1"/>
  <c r="P108" i="11"/>
  <c r="K18" i="3" s="1"/>
  <c r="O108" i="11"/>
  <c r="J18" i="3" s="1"/>
  <c r="N108" i="11"/>
  <c r="I18" i="3" s="1"/>
  <c r="M108" i="11"/>
  <c r="H18" i="3" s="1"/>
  <c r="L108" i="11"/>
  <c r="G18" i="3" s="1"/>
  <c r="K108" i="11"/>
  <c r="F18" i="3" s="1"/>
  <c r="J108" i="11"/>
  <c r="E18" i="3" s="1"/>
  <c r="I108" i="11"/>
  <c r="D18" i="3" s="1"/>
  <c r="X107" i="11"/>
  <c r="S17" i="3" s="1"/>
  <c r="W107" i="11"/>
  <c r="R17" i="3" s="1"/>
  <c r="V107" i="11"/>
  <c r="Q17" i="3" s="1"/>
  <c r="U107" i="11"/>
  <c r="P17" i="3" s="1"/>
  <c r="T107" i="11"/>
  <c r="O17" i="3" s="1"/>
  <c r="S107" i="11"/>
  <c r="N17" i="3" s="1"/>
  <c r="R107" i="11"/>
  <c r="M17" i="3" s="1"/>
  <c r="Q107" i="11"/>
  <c r="L17" i="3" s="1"/>
  <c r="P107" i="11"/>
  <c r="K17" i="3" s="1"/>
  <c r="O107" i="11"/>
  <c r="J17" i="3" s="1"/>
  <c r="N107" i="11"/>
  <c r="I17" i="3" s="1"/>
  <c r="M107" i="11"/>
  <c r="H17" i="3" s="1"/>
  <c r="L107" i="11"/>
  <c r="G17" i="3" s="1"/>
  <c r="K107" i="11"/>
  <c r="F17" i="3" s="1"/>
  <c r="J107" i="11"/>
  <c r="E17" i="3" s="1"/>
  <c r="I107" i="11"/>
  <c r="D17" i="3" s="1"/>
  <c r="X106" i="11"/>
  <c r="S16" i="3" s="1"/>
  <c r="W106" i="11"/>
  <c r="R16" i="3" s="1"/>
  <c r="V106" i="11"/>
  <c r="Q16" i="3" s="1"/>
  <c r="U106" i="11"/>
  <c r="P16" i="3" s="1"/>
  <c r="T106" i="11"/>
  <c r="O16" i="3" s="1"/>
  <c r="S106" i="11"/>
  <c r="N16" i="3" s="1"/>
  <c r="R106" i="11"/>
  <c r="M16" i="3" s="1"/>
  <c r="Q106" i="11"/>
  <c r="L16" i="3" s="1"/>
  <c r="P106" i="11"/>
  <c r="K16" i="3" s="1"/>
  <c r="O106" i="11"/>
  <c r="J16" i="3" s="1"/>
  <c r="N106" i="11"/>
  <c r="I16" i="3" s="1"/>
  <c r="M106" i="11"/>
  <c r="H16" i="3" s="1"/>
  <c r="L106" i="11"/>
  <c r="G16" i="3" s="1"/>
  <c r="K106" i="11"/>
  <c r="F16" i="3" s="1"/>
  <c r="J106" i="11"/>
  <c r="E16" i="3" s="1"/>
  <c r="I106" i="11"/>
  <c r="D16" i="3" s="1"/>
  <c r="X105" i="11"/>
  <c r="S15" i="3" s="1"/>
  <c r="W105" i="11"/>
  <c r="R15" i="3" s="1"/>
  <c r="V105" i="11"/>
  <c r="Q15" i="3" s="1"/>
  <c r="U105" i="11"/>
  <c r="P15" i="3" s="1"/>
  <c r="T105" i="11"/>
  <c r="O15" i="3" s="1"/>
  <c r="S105" i="11"/>
  <c r="N15" i="3" s="1"/>
  <c r="R105" i="11"/>
  <c r="M15" i="3" s="1"/>
  <c r="Q105" i="11"/>
  <c r="L15" i="3" s="1"/>
  <c r="P105" i="11"/>
  <c r="K15" i="3" s="1"/>
  <c r="O105" i="11"/>
  <c r="J15" i="3" s="1"/>
  <c r="N105" i="11"/>
  <c r="I15" i="3" s="1"/>
  <c r="M105" i="11"/>
  <c r="H15" i="3" s="1"/>
  <c r="L105" i="11"/>
  <c r="G15" i="3" s="1"/>
  <c r="K105" i="11"/>
  <c r="F15" i="3" s="1"/>
  <c r="J105" i="11"/>
  <c r="E15" i="3" s="1"/>
  <c r="I105" i="11"/>
  <c r="D15" i="3" s="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X103" i="11"/>
  <c r="S13" i="3" s="1"/>
  <c r="W103" i="11"/>
  <c r="R13" i="3" s="1"/>
  <c r="V103" i="11"/>
  <c r="Q13" i="3" s="1"/>
  <c r="U103" i="11"/>
  <c r="P13" i="3" s="1"/>
  <c r="T103" i="11"/>
  <c r="O13" i="3" s="1"/>
  <c r="S103" i="11"/>
  <c r="N13" i="3" s="1"/>
  <c r="R103" i="11"/>
  <c r="M13" i="3" s="1"/>
  <c r="Q103" i="11"/>
  <c r="L13" i="3" s="1"/>
  <c r="P103" i="11"/>
  <c r="K13" i="3" s="1"/>
  <c r="O103" i="11"/>
  <c r="J13" i="3" s="1"/>
  <c r="N103" i="11"/>
  <c r="I13" i="3" s="1"/>
  <c r="M103" i="11"/>
  <c r="H13" i="3" s="1"/>
  <c r="L103" i="11"/>
  <c r="G13" i="3" s="1"/>
  <c r="K103" i="11"/>
  <c r="F13" i="3" s="1"/>
  <c r="J103" i="11"/>
  <c r="E13" i="3" s="1"/>
  <c r="I103" i="11"/>
  <c r="D13" i="3" s="1"/>
  <c r="E38" i="3" s="1"/>
  <c r="X102" i="11"/>
  <c r="S12" i="3" s="1"/>
  <c r="W102" i="11"/>
  <c r="R12" i="3" s="1"/>
  <c r="V102" i="11"/>
  <c r="Q12" i="3" s="1"/>
  <c r="U102" i="11"/>
  <c r="P12" i="3" s="1"/>
  <c r="T102" i="11"/>
  <c r="O12" i="3" s="1"/>
  <c r="S102" i="11"/>
  <c r="N12" i="3" s="1"/>
  <c r="R102" i="11"/>
  <c r="M12" i="3" s="1"/>
  <c r="Q102" i="11"/>
  <c r="L12" i="3" s="1"/>
  <c r="P102" i="11"/>
  <c r="K12" i="3" s="1"/>
  <c r="O102" i="11"/>
  <c r="J12" i="3" s="1"/>
  <c r="N102" i="11"/>
  <c r="I12" i="3" s="1"/>
  <c r="M102" i="11"/>
  <c r="H12" i="3" s="1"/>
  <c r="L102" i="11"/>
  <c r="G12" i="3" s="1"/>
  <c r="K102" i="11"/>
  <c r="F12" i="3" s="1"/>
  <c r="J102" i="11"/>
  <c r="E12" i="3" s="1"/>
  <c r="I102" i="11"/>
  <c r="D12" i="3" s="1"/>
  <c r="E37" i="3" s="1"/>
  <c r="X101" i="11"/>
  <c r="S11" i="3" s="1"/>
  <c r="W101" i="11"/>
  <c r="R11" i="3" s="1"/>
  <c r="V101" i="11"/>
  <c r="Q11" i="3" s="1"/>
  <c r="U101" i="11"/>
  <c r="P11" i="3" s="1"/>
  <c r="T101" i="11"/>
  <c r="O11" i="3" s="1"/>
  <c r="S101" i="11"/>
  <c r="N11" i="3" s="1"/>
  <c r="R101" i="11"/>
  <c r="M11" i="3" s="1"/>
  <c r="Q101" i="11"/>
  <c r="L11" i="3" s="1"/>
  <c r="P101" i="11"/>
  <c r="K11" i="3" s="1"/>
  <c r="O101" i="11"/>
  <c r="J11" i="3" s="1"/>
  <c r="N101" i="11"/>
  <c r="I11" i="3" s="1"/>
  <c r="M101" i="11"/>
  <c r="H11" i="3" s="1"/>
  <c r="L101" i="11"/>
  <c r="G11" i="3" s="1"/>
  <c r="K101" i="11"/>
  <c r="F11" i="3" s="1"/>
  <c r="J101" i="11"/>
  <c r="E11" i="3" s="1"/>
  <c r="I101" i="11"/>
  <c r="D11" i="3" s="1"/>
  <c r="E36" i="3" s="1"/>
  <c r="X100" i="11"/>
  <c r="S10" i="3" s="1"/>
  <c r="W100" i="11"/>
  <c r="R10" i="3" s="1"/>
  <c r="V100" i="11"/>
  <c r="Q10" i="3" s="1"/>
  <c r="U100" i="11"/>
  <c r="P10" i="3" s="1"/>
  <c r="T100" i="11"/>
  <c r="O10" i="3" s="1"/>
  <c r="S100" i="11"/>
  <c r="N10" i="3" s="1"/>
  <c r="R100" i="11"/>
  <c r="M10" i="3" s="1"/>
  <c r="Q100" i="11"/>
  <c r="L10" i="3" s="1"/>
  <c r="P100" i="11"/>
  <c r="K10" i="3" s="1"/>
  <c r="O100" i="11"/>
  <c r="J10" i="3" s="1"/>
  <c r="N100" i="11"/>
  <c r="I10" i="3" s="1"/>
  <c r="M100" i="11"/>
  <c r="H10" i="3" s="1"/>
  <c r="L100" i="11"/>
  <c r="G10" i="3" s="1"/>
  <c r="K100" i="11"/>
  <c r="F10" i="3" s="1"/>
  <c r="J100" i="11"/>
  <c r="E10" i="3" s="1"/>
  <c r="I100" i="11"/>
  <c r="D10" i="3" s="1"/>
  <c r="E35" i="3" s="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X98" i="11"/>
  <c r="S8" i="3" s="1"/>
  <c r="W98" i="11"/>
  <c r="R8" i="3" s="1"/>
  <c r="R32" i="3" s="1"/>
  <c r="V98" i="11"/>
  <c r="Q8" i="3" s="1"/>
  <c r="U98" i="11"/>
  <c r="P8" i="3" s="1"/>
  <c r="T98" i="11"/>
  <c r="O8" i="3" s="1"/>
  <c r="S98" i="11"/>
  <c r="N8" i="3" s="1"/>
  <c r="R98" i="11"/>
  <c r="M8" i="3" s="1"/>
  <c r="Q98" i="11"/>
  <c r="L8" i="3" s="1"/>
  <c r="P98" i="11"/>
  <c r="K8" i="3" s="1"/>
  <c r="O98" i="11"/>
  <c r="J8" i="3" s="1"/>
  <c r="N98" i="11"/>
  <c r="I8" i="3" s="1"/>
  <c r="M98" i="11"/>
  <c r="H8" i="3" s="1"/>
  <c r="L98" i="11"/>
  <c r="G8" i="3" s="1"/>
  <c r="K98" i="11"/>
  <c r="F8" i="3" s="1"/>
  <c r="J98" i="11"/>
  <c r="E8" i="3" s="1"/>
  <c r="I98" i="11"/>
  <c r="D8" i="3" s="1"/>
  <c r="X97" i="11"/>
  <c r="S7" i="3" s="1"/>
  <c r="W97" i="11"/>
  <c r="R7" i="3" s="1"/>
  <c r="V97" i="11"/>
  <c r="Q7" i="3" s="1"/>
  <c r="U97" i="11"/>
  <c r="P7" i="3" s="1"/>
  <c r="T97" i="11"/>
  <c r="O7" i="3" s="1"/>
  <c r="S97" i="11"/>
  <c r="N7" i="3" s="1"/>
  <c r="R97" i="11"/>
  <c r="M7" i="3" s="1"/>
  <c r="Q97" i="11"/>
  <c r="L7" i="3" s="1"/>
  <c r="P97" i="11"/>
  <c r="K7" i="3" s="1"/>
  <c r="O97" i="11"/>
  <c r="J7" i="3" s="1"/>
  <c r="N97" i="11"/>
  <c r="I7" i="3" s="1"/>
  <c r="M97" i="11"/>
  <c r="H7" i="3" s="1"/>
  <c r="L97" i="11"/>
  <c r="G7" i="3" s="1"/>
  <c r="K97" i="11"/>
  <c r="F7" i="3" s="1"/>
  <c r="J97" i="11"/>
  <c r="E7" i="3" s="1"/>
  <c r="I97" i="11"/>
  <c r="D7" i="3" s="1"/>
  <c r="X96" i="11"/>
  <c r="S6" i="3" s="1"/>
  <c r="S30" i="3" s="1"/>
  <c r="W96" i="11"/>
  <c r="R6" i="3" s="1"/>
  <c r="R30" i="3" s="1"/>
  <c r="V96" i="11"/>
  <c r="Q6" i="3" s="1"/>
  <c r="U96" i="11"/>
  <c r="P6" i="3" s="1"/>
  <c r="T96" i="11"/>
  <c r="O6" i="3" s="1"/>
  <c r="S96" i="11"/>
  <c r="N6" i="3" s="1"/>
  <c r="R96" i="11"/>
  <c r="M6" i="3" s="1"/>
  <c r="Q96" i="11"/>
  <c r="L6" i="3" s="1"/>
  <c r="P96" i="11"/>
  <c r="K6" i="3" s="1"/>
  <c r="O96" i="11"/>
  <c r="J6" i="3" s="1"/>
  <c r="N96" i="11"/>
  <c r="I6" i="3" s="1"/>
  <c r="M96" i="11"/>
  <c r="H6" i="3" s="1"/>
  <c r="L96" i="11"/>
  <c r="G6" i="3" s="1"/>
  <c r="K96" i="11"/>
  <c r="F6" i="3" s="1"/>
  <c r="J96" i="11"/>
  <c r="E6" i="3" s="1"/>
  <c r="I96" i="11"/>
  <c r="D6" i="3" s="1"/>
  <c r="X95" i="11"/>
  <c r="S5" i="3" s="1"/>
  <c r="S29" i="3" s="1"/>
  <c r="W95" i="11"/>
  <c r="R5" i="3" s="1"/>
  <c r="R29" i="3" s="1"/>
  <c r="V95" i="11"/>
  <c r="Q5" i="3" s="1"/>
  <c r="U95" i="11"/>
  <c r="P5" i="3" s="1"/>
  <c r="T95" i="11"/>
  <c r="O5" i="3" s="1"/>
  <c r="S95" i="11"/>
  <c r="N5" i="3" s="1"/>
  <c r="R95" i="11"/>
  <c r="M5" i="3" s="1"/>
  <c r="Q95" i="11"/>
  <c r="L5" i="3" s="1"/>
  <c r="P95" i="11"/>
  <c r="K5" i="3" s="1"/>
  <c r="O95" i="11"/>
  <c r="J5" i="3" s="1"/>
  <c r="N95" i="11"/>
  <c r="I5" i="3" s="1"/>
  <c r="M95" i="11"/>
  <c r="H5" i="3" s="1"/>
  <c r="L95" i="11"/>
  <c r="G5" i="3" s="1"/>
  <c r="K95" i="11"/>
  <c r="F5" i="3" s="1"/>
  <c r="J95" i="11"/>
  <c r="E5" i="3" s="1"/>
  <c r="I95" i="11"/>
  <c r="D5" i="3" s="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X77" i="11"/>
  <c r="W77" i="11"/>
  <c r="V77" i="11"/>
  <c r="U77" i="11"/>
  <c r="U90" i="11" s="1"/>
  <c r="T77" i="11"/>
  <c r="T90" i="11" s="1"/>
  <c r="S77" i="11"/>
  <c r="S90" i="11" s="1"/>
  <c r="R77" i="11"/>
  <c r="R90" i="11" s="1"/>
  <c r="Q77" i="11"/>
  <c r="P77" i="11"/>
  <c r="O77" i="11"/>
  <c r="N77" i="11"/>
  <c r="M77" i="11"/>
  <c r="L77" i="11"/>
  <c r="K77" i="11"/>
  <c r="J77" i="11"/>
  <c r="I77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X72" i="11"/>
  <c r="W72" i="11"/>
  <c r="V72" i="11"/>
  <c r="U72" i="11"/>
  <c r="U89" i="11" s="1"/>
  <c r="T72" i="11"/>
  <c r="T89" i="11" s="1"/>
  <c r="S72" i="11"/>
  <c r="S89" i="11" s="1"/>
  <c r="R72" i="11"/>
  <c r="R89" i="11" s="1"/>
  <c r="Q72" i="11"/>
  <c r="P72" i="11"/>
  <c r="O72" i="11"/>
  <c r="N72" i="11"/>
  <c r="M72" i="11"/>
  <c r="L72" i="11"/>
  <c r="K72" i="11"/>
  <c r="J72" i="11"/>
  <c r="I72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P52" i="11"/>
  <c r="R37" i="2" s="1"/>
  <c r="O52" i="11"/>
  <c r="Q37" i="2" s="1"/>
  <c r="N52" i="11"/>
  <c r="P37" i="2" s="1"/>
  <c r="M52" i="11"/>
  <c r="O37" i="2" s="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C32" i="2" s="1"/>
  <c r="C38" i="2" s="1"/>
  <c r="C46" i="2" s="1"/>
  <c r="D2" i="2" s="1"/>
  <c r="D5" i="2" s="1"/>
  <c r="H71" i="2"/>
  <c r="H70" i="2"/>
  <c r="H69" i="2"/>
  <c r="H68" i="2"/>
  <c r="H67" i="2"/>
  <c r="K60" i="2"/>
  <c r="H64" i="2"/>
  <c r="H63" i="2"/>
  <c r="H62" i="2"/>
  <c r="H61" i="2"/>
  <c r="H60" i="2"/>
  <c r="H57" i="2"/>
  <c r="H56" i="2"/>
  <c r="H55" i="2"/>
  <c r="H54" i="2"/>
  <c r="H53" i="2"/>
  <c r="C51" i="2"/>
  <c r="AN42" i="2"/>
  <c r="AM42" i="2"/>
  <c r="AL42" i="2"/>
  <c r="AK42" i="2"/>
  <c r="AD42" i="2"/>
  <c r="AC42" i="2"/>
  <c r="AB42" i="2"/>
  <c r="AA42" i="2"/>
  <c r="R42" i="2"/>
  <c r="Q42" i="2"/>
  <c r="P42" i="2"/>
  <c r="O42" i="2"/>
  <c r="F42" i="2"/>
  <c r="E42" i="2"/>
  <c r="D42" i="2"/>
  <c r="C42" i="2"/>
  <c r="AN41" i="2"/>
  <c r="AM41" i="2"/>
  <c r="AL41" i="2"/>
  <c r="AK41" i="2"/>
  <c r="AD41" i="2"/>
  <c r="AC41" i="2"/>
  <c r="AB41" i="2"/>
  <c r="AA41" i="2"/>
  <c r="R41" i="2"/>
  <c r="Q41" i="2"/>
  <c r="P41" i="2"/>
  <c r="O41" i="2"/>
  <c r="F41" i="2"/>
  <c r="E41" i="2"/>
  <c r="D41" i="2"/>
  <c r="C41" i="2"/>
  <c r="AN40" i="2"/>
  <c r="AM40" i="2"/>
  <c r="AL40" i="2"/>
  <c r="AK40" i="2"/>
  <c r="AD40" i="2"/>
  <c r="AC40" i="2"/>
  <c r="AB40" i="2"/>
  <c r="AA40" i="2"/>
  <c r="R40" i="2"/>
  <c r="Q40" i="2"/>
  <c r="P40" i="2"/>
  <c r="O40" i="2"/>
  <c r="F40" i="2"/>
  <c r="E40" i="2"/>
  <c r="D40" i="2"/>
  <c r="C40" i="2"/>
  <c r="Y33" i="2"/>
  <c r="X33" i="2"/>
  <c r="W33" i="2"/>
  <c r="Y32" i="2"/>
  <c r="X32" i="2"/>
  <c r="W32" i="2"/>
  <c r="Y31" i="2"/>
  <c r="X31" i="2"/>
  <c r="W31" i="2"/>
  <c r="V31" i="2"/>
  <c r="U31" i="2"/>
  <c r="T31" i="2"/>
  <c r="M31" i="2"/>
  <c r="L31" i="2"/>
  <c r="K31" i="2"/>
  <c r="J31" i="2"/>
  <c r="I31" i="2"/>
  <c r="H31" i="2"/>
  <c r="Y30" i="2"/>
  <c r="X30" i="2"/>
  <c r="W30" i="2"/>
  <c r="V30" i="2"/>
  <c r="U30" i="2"/>
  <c r="T30" i="2"/>
  <c r="M30" i="2"/>
  <c r="L30" i="2"/>
  <c r="K30" i="2"/>
  <c r="J30" i="2"/>
  <c r="I30" i="2"/>
  <c r="H30" i="2"/>
  <c r="Y29" i="2"/>
  <c r="X29" i="2"/>
  <c r="W29" i="2"/>
  <c r="V29" i="2"/>
  <c r="U29" i="2"/>
  <c r="T29" i="2"/>
  <c r="M29" i="2"/>
  <c r="L29" i="2"/>
  <c r="K29" i="2"/>
  <c r="J29" i="2"/>
  <c r="I29" i="2"/>
  <c r="H29" i="2"/>
  <c r="V28" i="2"/>
  <c r="U28" i="2"/>
  <c r="T28" i="2"/>
  <c r="M28" i="2"/>
  <c r="L28" i="2"/>
  <c r="K28" i="2"/>
  <c r="J28" i="2"/>
  <c r="I28" i="2"/>
  <c r="H28" i="2"/>
  <c r="V27" i="2"/>
  <c r="U27" i="2"/>
  <c r="T27" i="2"/>
  <c r="M27" i="2"/>
  <c r="L27" i="2"/>
  <c r="K27" i="2"/>
  <c r="J27" i="2"/>
  <c r="I27" i="2"/>
  <c r="H27" i="2"/>
  <c r="AN22" i="2"/>
  <c r="AM22" i="2"/>
  <c r="AL22" i="2"/>
  <c r="AK22" i="2"/>
  <c r="AD22" i="2"/>
  <c r="AC22" i="2"/>
  <c r="AB22" i="2"/>
  <c r="AA22" i="2"/>
  <c r="R22" i="2"/>
  <c r="Q22" i="2"/>
  <c r="P22" i="2"/>
  <c r="O22" i="2"/>
  <c r="F22" i="2"/>
  <c r="E22" i="2"/>
  <c r="D22" i="2"/>
  <c r="C22" i="2"/>
  <c r="X90" i="11" l="1"/>
  <c r="F29" i="3"/>
  <c r="H35" i="3"/>
  <c r="L36" i="3"/>
  <c r="J30" i="3"/>
  <c r="P37" i="3"/>
  <c r="N31" i="3"/>
  <c r="T91" i="11"/>
  <c r="V90" i="11"/>
  <c r="G29" i="3"/>
  <c r="I35" i="3"/>
  <c r="M36" i="3"/>
  <c r="K30" i="3"/>
  <c r="Q37" i="3"/>
  <c r="O31" i="3"/>
  <c r="S32" i="3"/>
  <c r="S91" i="11"/>
  <c r="I89" i="11"/>
  <c r="J54" i="11" s="1" a="1"/>
  <c r="I90" i="11"/>
  <c r="I91" i="11"/>
  <c r="I111" i="11"/>
  <c r="D4" i="3"/>
  <c r="J35" i="3"/>
  <c r="H29" i="3"/>
  <c r="N36" i="3"/>
  <c r="L30" i="3"/>
  <c r="P31" i="3"/>
  <c r="R37" i="3"/>
  <c r="I112" i="11"/>
  <c r="D9" i="3"/>
  <c r="D14" i="3"/>
  <c r="I113" i="11"/>
  <c r="X91" i="11"/>
  <c r="T6" i="2"/>
  <c r="J89" i="11"/>
  <c r="J90" i="11"/>
  <c r="J91" i="11"/>
  <c r="E4" i="3"/>
  <c r="J111" i="11"/>
  <c r="K35" i="3"/>
  <c r="I29" i="3"/>
  <c r="O36" i="3"/>
  <c r="M30" i="3"/>
  <c r="S37" i="3"/>
  <c r="Q31" i="3"/>
  <c r="J112" i="11"/>
  <c r="E9" i="3"/>
  <c r="J113" i="11"/>
  <c r="E14" i="3"/>
  <c r="T55" i="11" a="1"/>
  <c r="T55" i="11" s="1"/>
  <c r="T57" i="11" a="1"/>
  <c r="T57" i="11" s="1"/>
  <c r="U54" i="11" a="1"/>
  <c r="V91" i="11"/>
  <c r="K89" i="11"/>
  <c r="K90" i="11"/>
  <c r="K91" i="11"/>
  <c r="K111" i="11"/>
  <c r="F4" i="3"/>
  <c r="L35" i="3"/>
  <c r="J29" i="3"/>
  <c r="N30" i="3"/>
  <c r="P36" i="3"/>
  <c r="F9" i="3"/>
  <c r="K112" i="11"/>
  <c r="R31" i="3"/>
  <c r="F14" i="3"/>
  <c r="K113" i="11"/>
  <c r="Q2" i="5" a="1"/>
  <c r="Q2" i="5" s="1"/>
  <c r="Q3" i="5" s="1" a="1"/>
  <c r="Q3" i="5" s="1"/>
  <c r="Q4" i="5" s="1" a="1"/>
  <c r="Q4" i="5" s="1"/>
  <c r="Q5" i="5" s="1" a="1"/>
  <c r="Q5" i="5" s="1"/>
  <c r="Q6" i="5" s="1" a="1"/>
  <c r="Q6" i="5" s="1"/>
  <c r="Q7" i="5" s="1" a="1"/>
  <c r="Q7" i="5" s="1"/>
  <c r="Q8" i="5" s="1" a="1"/>
  <c r="Q8" i="5" s="1"/>
  <c r="Q9" i="5" s="1" a="1"/>
  <c r="Q19" i="5"/>
  <c r="V89" i="11"/>
  <c r="W91" i="11"/>
  <c r="X89" i="11"/>
  <c r="L89" i="11"/>
  <c r="L90" i="11"/>
  <c r="L91" i="11"/>
  <c r="L111" i="11"/>
  <c r="G4" i="3"/>
  <c r="M35" i="3"/>
  <c r="K29" i="3"/>
  <c r="Q36" i="3"/>
  <c r="O30" i="3"/>
  <c r="L112" i="11"/>
  <c r="G9" i="3"/>
  <c r="S31" i="3"/>
  <c r="G14" i="3"/>
  <c r="L113" i="11"/>
  <c r="H4" i="3"/>
  <c r="M111" i="11"/>
  <c r="L29" i="3"/>
  <c r="N35" i="3"/>
  <c r="R36" i="3"/>
  <c r="P30" i="3"/>
  <c r="F38" i="3"/>
  <c r="D32" i="3"/>
  <c r="M112" i="11"/>
  <c r="H9" i="3"/>
  <c r="H14" i="3"/>
  <c r="M113" i="11"/>
  <c r="W89" i="11"/>
  <c r="M91" i="11"/>
  <c r="N89" i="11"/>
  <c r="N90" i="11"/>
  <c r="N91" i="11"/>
  <c r="I4" i="3"/>
  <c r="N111" i="11"/>
  <c r="O35" i="3"/>
  <c r="M29" i="3"/>
  <c r="S36" i="3"/>
  <c r="Q30" i="3"/>
  <c r="E32" i="3"/>
  <c r="G38" i="3"/>
  <c r="N112" i="11"/>
  <c r="I9" i="3"/>
  <c r="N113" i="11"/>
  <c r="I14" i="3"/>
  <c r="T54" i="11" a="1"/>
  <c r="U91" i="11"/>
  <c r="V54" i="11" s="1" a="1"/>
  <c r="M90" i="11"/>
  <c r="O89" i="11"/>
  <c r="O90" i="11"/>
  <c r="O91" i="11"/>
  <c r="O111" i="11"/>
  <c r="J4" i="3"/>
  <c r="N29" i="3"/>
  <c r="P35" i="3"/>
  <c r="H38" i="3"/>
  <c r="F32" i="3"/>
  <c r="O112" i="11"/>
  <c r="J9" i="3"/>
  <c r="J14" i="3"/>
  <c r="O113" i="11"/>
  <c r="R91" i="11"/>
  <c r="S54" i="11" s="1" a="1"/>
  <c r="M89" i="11"/>
  <c r="P89" i="11"/>
  <c r="P90" i="11"/>
  <c r="P91" i="11"/>
  <c r="K4" i="3"/>
  <c r="P111" i="11"/>
  <c r="Q35" i="3"/>
  <c r="O29" i="3"/>
  <c r="G32" i="3"/>
  <c r="I38" i="3"/>
  <c r="K9" i="3"/>
  <c r="P112" i="11"/>
  <c r="K14" i="3"/>
  <c r="P113" i="11"/>
  <c r="W90" i="11"/>
  <c r="C52" i="2" a="1"/>
  <c r="C14" i="14"/>
  <c r="D9" i="14"/>
  <c r="Q89" i="11"/>
  <c r="Q90" i="11"/>
  <c r="Q91" i="11"/>
  <c r="L4" i="3"/>
  <c r="Q111" i="11"/>
  <c r="P29" i="3"/>
  <c r="R35" i="3"/>
  <c r="D31" i="3"/>
  <c r="F37" i="3"/>
  <c r="J38" i="3"/>
  <c r="H32" i="3"/>
  <c r="Q112" i="11"/>
  <c r="L9" i="3"/>
  <c r="Q113" i="11"/>
  <c r="L14" i="3"/>
  <c r="R111" i="11"/>
  <c r="M4" i="3"/>
  <c r="S35" i="3"/>
  <c r="Q29" i="3"/>
  <c r="E31" i="3"/>
  <c r="G37" i="3"/>
  <c r="I32" i="3"/>
  <c r="K38" i="3"/>
  <c r="M9" i="3"/>
  <c r="R112" i="11"/>
  <c r="M14" i="3"/>
  <c r="R113" i="11"/>
  <c r="S111" i="11"/>
  <c r="S55" i="11" s="1" a="1"/>
  <c r="S55" i="11" s="1"/>
  <c r="N4" i="3"/>
  <c r="H37" i="3"/>
  <c r="F31" i="3"/>
  <c r="J32" i="3"/>
  <c r="L38" i="3"/>
  <c r="S112" i="11"/>
  <c r="N9" i="3"/>
  <c r="N14" i="3"/>
  <c r="S113" i="11"/>
  <c r="O4" i="3"/>
  <c r="T111" i="11"/>
  <c r="G31" i="3"/>
  <c r="I37" i="3"/>
  <c r="K32" i="3"/>
  <c r="M38" i="3"/>
  <c r="O9" i="3"/>
  <c r="T112" i="11"/>
  <c r="O14" i="3"/>
  <c r="T113" i="11"/>
  <c r="U111" i="11"/>
  <c r="P4" i="3"/>
  <c r="F36" i="3"/>
  <c r="D30" i="3"/>
  <c r="J37" i="3"/>
  <c r="H31" i="3"/>
  <c r="L32" i="3"/>
  <c r="N38" i="3"/>
  <c r="P9" i="3"/>
  <c r="U112" i="11"/>
  <c r="P14" i="3"/>
  <c r="U113" i="11"/>
  <c r="Q4" i="3"/>
  <c r="V111" i="11"/>
  <c r="E30" i="3"/>
  <c r="G36" i="3"/>
  <c r="K37" i="3"/>
  <c r="I31" i="3"/>
  <c r="O38" i="3"/>
  <c r="M32" i="3"/>
  <c r="Q9" i="3"/>
  <c r="V112" i="11"/>
  <c r="V113" i="11"/>
  <c r="Q14" i="3"/>
  <c r="W111" i="11"/>
  <c r="R4" i="3"/>
  <c r="H36" i="3"/>
  <c r="F30" i="3"/>
  <c r="L37" i="3"/>
  <c r="J31" i="3"/>
  <c r="P38" i="3"/>
  <c r="N32" i="3"/>
  <c r="R9" i="3"/>
  <c r="W112" i="11"/>
  <c r="W113" i="11"/>
  <c r="R14" i="3"/>
  <c r="X111" i="11"/>
  <c r="S4" i="3"/>
  <c r="I36" i="3"/>
  <c r="G30" i="3"/>
  <c r="K31" i="3"/>
  <c r="M37" i="3"/>
  <c r="O32" i="3"/>
  <c r="Q38" i="3"/>
  <c r="S9" i="3"/>
  <c r="X112" i="11"/>
  <c r="X113" i="11"/>
  <c r="S14" i="3"/>
  <c r="F35" i="3"/>
  <c r="D29" i="3"/>
  <c r="H30" i="3"/>
  <c r="J36" i="3"/>
  <c r="L31" i="3"/>
  <c r="N37" i="3"/>
  <c r="R38" i="3"/>
  <c r="P32" i="3"/>
  <c r="G35" i="3"/>
  <c r="E29" i="3"/>
  <c r="K36" i="3"/>
  <c r="I30" i="3"/>
  <c r="O37" i="3"/>
  <c r="M31" i="3"/>
  <c r="S38" i="3"/>
  <c r="Q32" i="3"/>
  <c r="Q9" i="5" l="1"/>
  <c r="Q10" i="5" s="1" a="1"/>
  <c r="Q10" i="5" s="1"/>
  <c r="Q11" i="5" s="1" a="1"/>
  <c r="Q11" i="5" s="1"/>
  <c r="Q12" i="5" s="1" a="1"/>
  <c r="Q12" i="5" s="1"/>
  <c r="Q13" i="5" s="1" a="1"/>
  <c r="Q13" i="5" s="1"/>
  <c r="Q14" i="5" s="1" a="1"/>
  <c r="Q14" i="5" s="1"/>
  <c r="Q15" i="5" s="1" a="1"/>
  <c r="Q15" i="5" s="1"/>
  <c r="Q16" i="5" s="1" a="1"/>
  <c r="AL26" i="2"/>
  <c r="V54" i="11"/>
  <c r="AC26" i="2"/>
  <c r="S54" i="11"/>
  <c r="J57" i="11" a="1"/>
  <c r="J57" i="11" s="1"/>
  <c r="K54" i="11" a="1"/>
  <c r="J55" i="11" a="1"/>
  <c r="N25" i="3" a="1"/>
  <c r="P34" i="3"/>
  <c r="M22" i="3" a="1"/>
  <c r="M22" i="3" s="1"/>
  <c r="N28" i="3"/>
  <c r="N26" i="3"/>
  <c r="AC36" i="2" s="1"/>
  <c r="M24" i="3" a="1"/>
  <c r="M24" i="3" s="1"/>
  <c r="M21" i="3" a="1"/>
  <c r="M21" i="3" s="1"/>
  <c r="L23" i="3" a="1"/>
  <c r="L23" i="3" s="1"/>
  <c r="M20" i="3" a="1"/>
  <c r="M20" i="3" s="1"/>
  <c r="X55" i="11" a="1"/>
  <c r="X55" i="11" s="1"/>
  <c r="X57" i="11" a="1"/>
  <c r="X57" i="11" s="1"/>
  <c r="E34" i="3"/>
  <c r="S57" i="11" a="1"/>
  <c r="S57" i="11" s="1"/>
  <c r="N57" i="11" a="1"/>
  <c r="N57" i="11" s="1"/>
  <c r="N55" i="11" a="1"/>
  <c r="N55" i="11" s="1"/>
  <c r="O54" i="11" a="1"/>
  <c r="Q57" i="11" a="1"/>
  <c r="Q57" i="11" s="1"/>
  <c r="Q55" i="11" a="1"/>
  <c r="Q55" i="11" s="1"/>
  <c r="R54" i="11" a="1"/>
  <c r="P55" i="11" a="1"/>
  <c r="P55" i="11" s="1"/>
  <c r="Q54" i="11" a="1"/>
  <c r="P57" i="11" a="1"/>
  <c r="P57" i="11" s="1"/>
  <c r="I26" i="3"/>
  <c r="P36" i="2" s="1"/>
  <c r="H24" i="3" a="1"/>
  <c r="H24" i="3" s="1"/>
  <c r="G23" i="3" a="1"/>
  <c r="G23" i="3" s="1"/>
  <c r="H21" i="3" a="1"/>
  <c r="H21" i="3" s="1"/>
  <c r="H20" i="3" a="1"/>
  <c r="H20" i="3" s="1"/>
  <c r="I28" i="3"/>
  <c r="I25" i="3" a="1"/>
  <c r="K34" i="3"/>
  <c r="R17" i="2" s="1"/>
  <c r="H22" i="3" a="1"/>
  <c r="H22" i="3" s="1"/>
  <c r="J24" i="3" a="1"/>
  <c r="J24" i="3" s="1"/>
  <c r="K26" i="3"/>
  <c r="R36" i="2" s="1"/>
  <c r="I23" i="3" a="1"/>
  <c r="I23" i="3" s="1"/>
  <c r="K25" i="3" a="1"/>
  <c r="M34" i="3"/>
  <c r="J22" i="3" a="1"/>
  <c r="J22" i="3" s="1"/>
  <c r="J20" i="3" a="1"/>
  <c r="J20" i="3" s="1"/>
  <c r="J21" i="3" a="1"/>
  <c r="J21" i="3" s="1"/>
  <c r="K28" i="3"/>
  <c r="O25" i="3" a="1"/>
  <c r="O26" i="3"/>
  <c r="AD36" i="2" s="1"/>
  <c r="Q34" i="3"/>
  <c r="O28" i="3"/>
  <c r="N20" i="3" a="1"/>
  <c r="N20" i="3" s="1"/>
  <c r="N24" i="3" a="1"/>
  <c r="N24" i="3" s="1"/>
  <c r="M23" i="3" a="1"/>
  <c r="M23" i="3" s="1"/>
  <c r="N21" i="3" a="1"/>
  <c r="N21" i="3" s="1"/>
  <c r="N22" i="3" a="1"/>
  <c r="N22" i="3" s="1"/>
  <c r="N54" i="11" a="1"/>
  <c r="M57" i="11" a="1"/>
  <c r="M57" i="11" s="1"/>
  <c r="M55" i="11" a="1"/>
  <c r="M55" i="11" s="1"/>
  <c r="T54" i="11"/>
  <c r="AD26" i="2" s="1"/>
  <c r="X54" i="11" a="1"/>
  <c r="W55" i="11" a="1"/>
  <c r="W55" i="11" s="1"/>
  <c r="W57" i="11" a="1"/>
  <c r="W57" i="11" s="1"/>
  <c r="S25" i="3" a="1"/>
  <c r="S26" i="3"/>
  <c r="AN36" i="2" s="1"/>
  <c r="R24" i="3" a="1"/>
  <c r="R24" i="3" s="1"/>
  <c r="S28" i="3"/>
  <c r="R20" i="3" a="1"/>
  <c r="R20" i="3" s="1"/>
  <c r="R22" i="3" a="1"/>
  <c r="R22" i="3" s="1"/>
  <c r="R21" i="3" a="1"/>
  <c r="R21" i="3" s="1"/>
  <c r="Q23" i="3" a="1"/>
  <c r="Q23" i="3" s="1"/>
  <c r="K20" i="3" a="1"/>
  <c r="K20" i="3" s="1"/>
  <c r="L26" i="3"/>
  <c r="AA36" i="2" s="1"/>
  <c r="K21" i="3" a="1"/>
  <c r="K21" i="3" s="1"/>
  <c r="L28" i="3"/>
  <c r="L25" i="3" a="1"/>
  <c r="J23" i="3" a="1"/>
  <c r="J23" i="3" s="1"/>
  <c r="K22" i="3" a="1"/>
  <c r="K22" i="3" s="1"/>
  <c r="K24" i="3" a="1"/>
  <c r="K24" i="3" s="1"/>
  <c r="N34" i="3"/>
  <c r="R57" i="11" a="1"/>
  <c r="R57" i="11" s="1"/>
  <c r="F34" i="3"/>
  <c r="E17" i="2" s="1" a="1"/>
  <c r="E17" i="2" s="1"/>
  <c r="D28" i="3"/>
  <c r="L54" i="11" a="1"/>
  <c r="K57" i="11" a="1"/>
  <c r="K57" i="11" s="1"/>
  <c r="K55" i="11" a="1"/>
  <c r="K55" i="11" s="1"/>
  <c r="M54" i="11" a="1"/>
  <c r="L57" i="11" a="1"/>
  <c r="L57" i="11" s="1"/>
  <c r="L55" i="11" a="1"/>
  <c r="L55" i="11" s="1"/>
  <c r="P54" i="11" a="1"/>
  <c r="O57" i="11" a="1"/>
  <c r="O57" i="11" s="1"/>
  <c r="O55" i="11" a="1"/>
  <c r="O55" i="11" s="1"/>
  <c r="R25" i="3" a="1"/>
  <c r="P23" i="3" a="1"/>
  <c r="P23" i="3" s="1"/>
  <c r="Q21" i="3" a="1"/>
  <c r="Q21" i="3" s="1"/>
  <c r="Q22" i="3" a="1"/>
  <c r="Q22" i="3" s="1"/>
  <c r="R28" i="3"/>
  <c r="Q24" i="3" a="1"/>
  <c r="Q24" i="3" s="1"/>
  <c r="R26" i="3"/>
  <c r="AM36" i="2" s="1"/>
  <c r="Q20" i="3" a="1"/>
  <c r="Q20" i="3" s="1"/>
  <c r="D51" i="2" a="1"/>
  <c r="E8" i="14"/>
  <c r="R55" i="11" a="1"/>
  <c r="R55" i="11" s="1"/>
  <c r="F25" i="3" a="1"/>
  <c r="D23" i="3" a="1"/>
  <c r="D23" i="3" s="1"/>
  <c r="F28" i="3"/>
  <c r="H34" i="3"/>
  <c r="O17" i="2" s="1"/>
  <c r="E24" i="3" a="1"/>
  <c r="E24" i="3" s="1"/>
  <c r="F26" i="3"/>
  <c r="E36" i="2" s="1"/>
  <c r="E21" i="3" a="1"/>
  <c r="E21" i="3" s="1"/>
  <c r="E20" i="3" a="1"/>
  <c r="E20" i="3" s="1"/>
  <c r="E22" i="3" a="1"/>
  <c r="E22" i="3" s="1"/>
  <c r="P25" i="3" a="1"/>
  <c r="O24" i="3" a="1"/>
  <c r="O24" i="3" s="1"/>
  <c r="O20" i="3" a="1"/>
  <c r="O20" i="3" s="1"/>
  <c r="N23" i="3" a="1"/>
  <c r="N23" i="3" s="1"/>
  <c r="O21" i="3" a="1"/>
  <c r="O21" i="3" s="1"/>
  <c r="O22" i="3" a="1"/>
  <c r="O22" i="3" s="1"/>
  <c r="P28" i="3"/>
  <c r="P26" i="3"/>
  <c r="AK36" i="2" s="1"/>
  <c r="R34" i="3"/>
  <c r="V55" i="11" a="1"/>
  <c r="V55" i="11" s="1"/>
  <c r="V57" i="11" a="1"/>
  <c r="V57" i="11" s="1"/>
  <c r="W54" i="11" a="1"/>
  <c r="H25" i="3" a="1"/>
  <c r="H26" i="3"/>
  <c r="O36" i="2" s="1"/>
  <c r="G21" i="3" a="1"/>
  <c r="G21" i="3" s="1"/>
  <c r="G24" i="3" a="1"/>
  <c r="G24" i="3" s="1"/>
  <c r="G20" i="3" a="1"/>
  <c r="G20" i="3" s="1"/>
  <c r="G22" i="3" a="1"/>
  <c r="G22" i="3" s="1"/>
  <c r="H28" i="3"/>
  <c r="F23" i="3" a="1"/>
  <c r="F23" i="3" s="1"/>
  <c r="J34" i="3"/>
  <c r="Q17" i="2" s="1"/>
  <c r="G25" i="3" a="1"/>
  <c r="I34" i="3"/>
  <c r="P17" i="2" s="1"/>
  <c r="F22" i="3" a="1"/>
  <c r="F22" i="3" s="1"/>
  <c r="F24" i="3" a="1"/>
  <c r="F24" i="3" s="1"/>
  <c r="F20" i="3" a="1"/>
  <c r="F20" i="3" s="1"/>
  <c r="G28" i="3"/>
  <c r="G26" i="3"/>
  <c r="F36" i="2" s="1"/>
  <c r="F21" i="3" a="1"/>
  <c r="F21" i="3" s="1"/>
  <c r="E23" i="3" a="1"/>
  <c r="E23" i="3" s="1"/>
  <c r="E25" i="3" a="1"/>
  <c r="D22" i="3" a="1"/>
  <c r="D22" i="3" s="1"/>
  <c r="D20" i="3" a="1"/>
  <c r="D20" i="3" s="1"/>
  <c r="G34" i="3"/>
  <c r="F17" i="2" s="1" a="1"/>
  <c r="F17" i="2" s="1"/>
  <c r="D21" i="3" a="1"/>
  <c r="D21" i="3" s="1"/>
  <c r="D24" i="3" a="1"/>
  <c r="D24" i="3" s="1"/>
  <c r="E26" i="3"/>
  <c r="D36" i="2" s="1"/>
  <c r="E28" i="3"/>
  <c r="U55" i="11" a="1"/>
  <c r="U55" i="11" s="1"/>
  <c r="L34" i="3"/>
  <c r="H23" i="3" a="1"/>
  <c r="H23" i="3" s="1"/>
  <c r="I21" i="3" a="1"/>
  <c r="I21" i="3" s="1"/>
  <c r="J26" i="3"/>
  <c r="Q36" i="2" s="1"/>
  <c r="J28" i="3"/>
  <c r="J25" i="3" a="1"/>
  <c r="I20" i="3" a="1"/>
  <c r="I20" i="3" s="1"/>
  <c r="I24" i="3" a="1"/>
  <c r="I24" i="3" s="1"/>
  <c r="I22" i="3" a="1"/>
  <c r="I22" i="3" s="1"/>
  <c r="Q25" i="3" a="1"/>
  <c r="Q28" i="3"/>
  <c r="O23" i="3" a="1"/>
  <c r="O23" i="3" s="1"/>
  <c r="P21" i="3" a="1"/>
  <c r="P21" i="3" s="1"/>
  <c r="S34" i="3"/>
  <c r="P20" i="3" a="1"/>
  <c r="P20" i="3" s="1"/>
  <c r="Q26" i="3"/>
  <c r="AL36" i="2" s="1"/>
  <c r="P22" i="3" a="1"/>
  <c r="P22" i="3" s="1"/>
  <c r="P24" i="3" a="1"/>
  <c r="P24" i="3" s="1"/>
  <c r="C53" i="2" a="1"/>
  <c r="C53" i="2" s="1"/>
  <c r="C52" i="2"/>
  <c r="J54" i="11"/>
  <c r="D26" i="2" s="1"/>
  <c r="U57" i="11" a="1"/>
  <c r="U54" i="11"/>
  <c r="AK26" i="2" s="1"/>
  <c r="M25" i="3" a="1"/>
  <c r="M28" i="3"/>
  <c r="M26" i="3"/>
  <c r="AB36" i="2" s="1"/>
  <c r="O34" i="3"/>
  <c r="L24" i="3" a="1"/>
  <c r="L24" i="3" s="1"/>
  <c r="K23" i="3" a="1"/>
  <c r="K23" i="3" s="1"/>
  <c r="L21" i="3" a="1"/>
  <c r="L21" i="3" s="1"/>
  <c r="L22" i="3" a="1"/>
  <c r="L22" i="3" s="1"/>
  <c r="L20" i="3" a="1"/>
  <c r="L20" i="3" s="1"/>
  <c r="Q17" i="5" l="1" a="1"/>
  <c r="Q16" i="5"/>
  <c r="R25" i="3"/>
  <c r="AM31" i="2" s="1"/>
  <c r="AM38" i="2" s="1"/>
  <c r="D10" i="14"/>
  <c r="C15" i="14"/>
  <c r="C54" i="2" a="1"/>
  <c r="C54" i="2" s="1"/>
  <c r="C55" i="2" s="1"/>
  <c r="P25" i="3"/>
  <c r="AK31" i="2" s="1"/>
  <c r="AK38" i="2" s="1"/>
  <c r="J58" i="11" a="1"/>
  <c r="J55" i="11"/>
  <c r="L25" i="3"/>
  <c r="AA31" i="2" s="1"/>
  <c r="AA38" i="2" s="1"/>
  <c r="O31" i="2"/>
  <c r="O38" i="2" s="1"/>
  <c r="H25" i="3"/>
  <c r="AB26" i="2"/>
  <c r="R54" i="11"/>
  <c r="K54" i="11"/>
  <c r="E26" i="2" s="1"/>
  <c r="F25" i="3"/>
  <c r="E31" i="2" s="1"/>
  <c r="E38" i="2" s="1"/>
  <c r="L54" i="11"/>
  <c r="F26" i="2" s="1"/>
  <c r="S25" i="3"/>
  <c r="AN31" i="2" s="1"/>
  <c r="AN38" i="2" s="1"/>
  <c r="K58" i="11" a="1"/>
  <c r="M58" i="11" a="1"/>
  <c r="L58" i="11" a="1"/>
  <c r="M25" i="3"/>
  <c r="AB31" i="2" s="1"/>
  <c r="AB38" i="2" s="1"/>
  <c r="P54" i="11"/>
  <c r="R26" i="2" s="1"/>
  <c r="AC31" i="2"/>
  <c r="AC38" i="2" s="1"/>
  <c r="N25" i="3"/>
  <c r="C2" i="5" a="1"/>
  <c r="T58" i="11" a="1"/>
  <c r="T58" i="11" s="1"/>
  <c r="AD25" i="2" s="1"/>
  <c r="AD29" i="2" s="1"/>
  <c r="U58" i="11" a="1"/>
  <c r="R58" i="11" a="1"/>
  <c r="R58" i="11" s="1"/>
  <c r="AB25" i="2" s="1"/>
  <c r="AB29" i="2" s="1"/>
  <c r="S58" i="11" a="1"/>
  <c r="N54" i="11"/>
  <c r="P26" i="2" s="1"/>
  <c r="E25" i="3"/>
  <c r="D31" i="2" s="1"/>
  <c r="D38" i="2" s="1"/>
  <c r="E50" i="2"/>
  <c r="E16" i="2"/>
  <c r="E13" i="14"/>
  <c r="O54" i="11"/>
  <c r="Q26" i="2" s="1"/>
  <c r="O58" i="11" a="1"/>
  <c r="P58" i="11" a="1"/>
  <c r="Q58" i="11" a="1"/>
  <c r="N58" i="11" a="1"/>
  <c r="X54" i="11"/>
  <c r="AN26" i="2" s="1"/>
  <c r="K25" i="3"/>
  <c r="R31" i="2" s="1"/>
  <c r="R38" i="2" s="1"/>
  <c r="X58" i="11" a="1"/>
  <c r="X58" i="11" s="1"/>
  <c r="AN25" i="2" s="1"/>
  <c r="U57" i="11"/>
  <c r="Q54" i="11"/>
  <c r="AA26" i="2" s="1"/>
  <c r="Q25" i="3"/>
  <c r="AL31" i="2" s="1"/>
  <c r="AL38" i="2" s="1"/>
  <c r="G25" i="3"/>
  <c r="F31" i="2" s="1"/>
  <c r="M54" i="11"/>
  <c r="O26" i="2" s="1"/>
  <c r="J25" i="3"/>
  <c r="Q31" i="2" s="1"/>
  <c r="Q38" i="2" s="1"/>
  <c r="P31" i="2"/>
  <c r="P38" i="2" s="1"/>
  <c r="I25" i="3"/>
  <c r="D11" i="14"/>
  <c r="C16" i="14"/>
  <c r="O25" i="3"/>
  <c r="AD31" i="2" s="1"/>
  <c r="AD38" i="2" s="1"/>
  <c r="W54" i="11"/>
  <c r="AM26" i="2" s="1"/>
  <c r="D51" i="2"/>
  <c r="D14" i="14" s="1"/>
  <c r="V5" i="2" l="1"/>
  <c r="F38" i="2"/>
  <c r="J5" i="2"/>
  <c r="D25" i="2"/>
  <c r="J58" i="11"/>
  <c r="E25" i="2"/>
  <c r="E29" i="2" s="1"/>
  <c r="K58" i="11"/>
  <c r="C18" i="14" a="1"/>
  <c r="C18" i="14" s="1"/>
  <c r="O58" i="11"/>
  <c r="Q25" i="2" s="1"/>
  <c r="Q29" i="2" s="1"/>
  <c r="D12" i="14"/>
  <c r="C17" i="14"/>
  <c r="S58" i="11"/>
  <c r="AC25" i="2" s="1"/>
  <c r="AC29" i="2" s="1"/>
  <c r="N58" i="11"/>
  <c r="P25" i="2" s="1"/>
  <c r="P29" i="2" s="1"/>
  <c r="E9" i="14"/>
  <c r="AA25" i="2"/>
  <c r="Q58" i="11"/>
  <c r="AK25" i="2"/>
  <c r="U58" i="11"/>
  <c r="AN29" i="2"/>
  <c r="F25" i="2"/>
  <c r="F29" i="2" s="1"/>
  <c r="L58" i="11"/>
  <c r="D52" i="2" a="1"/>
  <c r="D52" i="2" s="1"/>
  <c r="D53" i="2" s="1" a="1"/>
  <c r="D53" i="2" s="1"/>
  <c r="D16" i="14" s="1"/>
  <c r="V58" i="11" a="1"/>
  <c r="V58" i="11" s="1"/>
  <c r="AL25" i="2" s="1"/>
  <c r="AL29" i="2" s="1"/>
  <c r="W58" i="11" a="1"/>
  <c r="C14" i="5"/>
  <c r="C10" i="5"/>
  <c r="C6" i="5"/>
  <c r="C2" i="5"/>
  <c r="G17" i="5"/>
  <c r="G13" i="5"/>
  <c r="G9" i="5"/>
  <c r="G5" i="5"/>
  <c r="F17" i="5"/>
  <c r="F13" i="5"/>
  <c r="F9" i="5"/>
  <c r="F5" i="5"/>
  <c r="E17" i="5"/>
  <c r="E13" i="5"/>
  <c r="E9" i="5"/>
  <c r="E5" i="5"/>
  <c r="D17" i="5"/>
  <c r="D13" i="5"/>
  <c r="D9" i="5"/>
  <c r="D5" i="5"/>
  <c r="C17" i="5"/>
  <c r="C13" i="5"/>
  <c r="C9" i="5"/>
  <c r="C5" i="5"/>
  <c r="G16" i="5"/>
  <c r="G12" i="5"/>
  <c r="G8" i="5"/>
  <c r="G4" i="5"/>
  <c r="F16" i="5"/>
  <c r="F12" i="5"/>
  <c r="F8" i="5"/>
  <c r="F4" i="5"/>
  <c r="E16" i="5"/>
  <c r="E12" i="5"/>
  <c r="E8" i="5"/>
  <c r="E4" i="5"/>
  <c r="D16" i="5"/>
  <c r="D12" i="5"/>
  <c r="D8" i="5"/>
  <c r="D4" i="5"/>
  <c r="C16" i="5"/>
  <c r="C12" i="5"/>
  <c r="C8" i="5"/>
  <c r="C4" i="5"/>
  <c r="G15" i="5"/>
  <c r="G11" i="5"/>
  <c r="G7" i="5"/>
  <c r="G3" i="5"/>
  <c r="F15" i="5"/>
  <c r="F11" i="5"/>
  <c r="F7" i="5"/>
  <c r="F3" i="5"/>
  <c r="E15" i="5"/>
  <c r="E11" i="5"/>
  <c r="E7" i="5"/>
  <c r="E3" i="5"/>
  <c r="D15" i="5"/>
  <c r="D11" i="5"/>
  <c r="D7" i="5"/>
  <c r="D3" i="5"/>
  <c r="C15" i="5"/>
  <c r="C11" i="5"/>
  <c r="C7" i="5"/>
  <c r="C3" i="5"/>
  <c r="G14" i="5"/>
  <c r="G10" i="5"/>
  <c r="G6" i="5"/>
  <c r="G2" i="5"/>
  <c r="F14" i="5"/>
  <c r="F10" i="5"/>
  <c r="F6" i="5"/>
  <c r="F2" i="5"/>
  <c r="E14" i="5"/>
  <c r="E10" i="5"/>
  <c r="E6" i="5"/>
  <c r="E2" i="5"/>
  <c r="D14" i="5"/>
  <c r="D10" i="5"/>
  <c r="D6" i="5"/>
  <c r="D2" i="5"/>
  <c r="P58" i="11"/>
  <c r="R25" i="2" s="1"/>
  <c r="R29" i="2" s="1"/>
  <c r="O25" i="2"/>
  <c r="M58" i="11"/>
  <c r="Q17" i="5"/>
  <c r="Q18" i="5" s="1"/>
  <c r="D54" i="2" l="1" a="1"/>
  <c r="D54" i="2" s="1"/>
  <c r="E12" i="14" s="1"/>
  <c r="W58" i="11"/>
  <c r="AM25" i="2" s="1"/>
  <c r="E11" i="14"/>
  <c r="E51" i="2" a="1"/>
  <c r="E51" i="2" s="1"/>
  <c r="F8" i="14" s="1"/>
  <c r="D55" i="2"/>
  <c r="I10" i="5" a="1"/>
  <c r="I10" i="5" s="1"/>
  <c r="H10" i="5" a="1"/>
  <c r="H10" i="5" s="1"/>
  <c r="K9" i="5" a="1"/>
  <c r="K9" i="5" s="1"/>
  <c r="L10" i="5" a="1"/>
  <c r="L10" i="5" s="1"/>
  <c r="J10" i="5" a="1"/>
  <c r="J10" i="5" s="1"/>
  <c r="D15" i="14"/>
  <c r="H13" i="5" a="1"/>
  <c r="H13" i="5" s="1"/>
  <c r="I13" i="5" a="1"/>
  <c r="I13" i="5" s="1"/>
  <c r="K12" i="5" a="1"/>
  <c r="K12" i="5" s="1"/>
  <c r="L13" i="5" a="1"/>
  <c r="L13" i="5" s="1"/>
  <c r="J13" i="5" a="1"/>
  <c r="J13" i="5" s="1"/>
  <c r="D29" i="2"/>
  <c r="D46" i="2" s="1"/>
  <c r="E2" i="2" s="1"/>
  <c r="E5" i="2" s="1"/>
  <c r="E46" i="2" s="1"/>
  <c r="F2" i="2" s="1"/>
  <c r="F5" i="2" s="1"/>
  <c r="H15" i="2"/>
  <c r="H20" i="2" s="1"/>
  <c r="J7" i="2" s="1"/>
  <c r="AK29" i="2"/>
  <c r="K10" i="5" a="1"/>
  <c r="K10" i="5" s="1"/>
  <c r="H11" i="5" a="1"/>
  <c r="H11" i="5" s="1"/>
  <c r="I11" i="5" a="1"/>
  <c r="I11" i="5" s="1"/>
  <c r="L11" i="5" a="1"/>
  <c r="L11" i="5" s="1"/>
  <c r="J11" i="5" a="1"/>
  <c r="J11" i="5" s="1"/>
  <c r="I12" i="5" a="1"/>
  <c r="I12" i="5" s="1"/>
  <c r="J12" i="5" a="1"/>
  <c r="J12" i="5" s="1"/>
  <c r="K11" i="5" a="1"/>
  <c r="K11" i="5" s="1"/>
  <c r="H12" i="5" a="1"/>
  <c r="H12" i="5" s="1"/>
  <c r="L12" i="5" a="1"/>
  <c r="L12" i="5" s="1"/>
  <c r="K8" i="5" a="1"/>
  <c r="K8" i="5" s="1"/>
  <c r="J9" i="5" a="1"/>
  <c r="J9" i="5" s="1"/>
  <c r="I9" i="5" a="1"/>
  <c r="I9" i="5" s="1"/>
  <c r="L9" i="5" a="1"/>
  <c r="L9" i="5" s="1"/>
  <c r="H9" i="5" a="1"/>
  <c r="H9" i="5" s="1"/>
  <c r="I14" i="5" a="1"/>
  <c r="I14" i="5" s="1"/>
  <c r="K13" i="5" a="1"/>
  <c r="K13" i="5" s="1"/>
  <c r="H14" i="5" a="1"/>
  <c r="H14" i="5" s="1"/>
  <c r="J14" i="5" a="1"/>
  <c r="J14" i="5" s="1"/>
  <c r="L14" i="5" a="1"/>
  <c r="L14" i="5" s="1"/>
  <c r="I15" i="5" a="1"/>
  <c r="I15" i="5" s="1"/>
  <c r="H15" i="5" a="1"/>
  <c r="H15" i="5" s="1"/>
  <c r="J15" i="5" a="1"/>
  <c r="J15" i="5" s="1"/>
  <c r="L15" i="5" a="1"/>
  <c r="L15" i="5" s="1"/>
  <c r="K14" i="5" a="1"/>
  <c r="K14" i="5" s="1"/>
  <c r="I16" i="5" a="1"/>
  <c r="I16" i="5" s="1"/>
  <c r="L16" i="5" a="1"/>
  <c r="L16" i="5" s="1"/>
  <c r="J16" i="5" a="1"/>
  <c r="J16" i="5" s="1"/>
  <c r="K15" i="5" a="1"/>
  <c r="K15" i="5" s="1"/>
  <c r="H16" i="5" a="1"/>
  <c r="H16" i="5" s="1"/>
  <c r="E10" i="14"/>
  <c r="J2" i="5" a="1"/>
  <c r="J2" i="5" s="1"/>
  <c r="L2" i="5" a="1"/>
  <c r="L2" i="5" s="1"/>
  <c r="H2" i="5" a="1"/>
  <c r="H2" i="5" s="1"/>
  <c r="I2" i="5" a="1"/>
  <c r="I2" i="5" s="1"/>
  <c r="J3" i="5" a="1"/>
  <c r="J3" i="5" s="1"/>
  <c r="L3" i="5" a="1"/>
  <c r="L3" i="5" s="1"/>
  <c r="H3" i="5" a="1"/>
  <c r="H3" i="5" s="1"/>
  <c r="K2" i="5" a="1"/>
  <c r="K2" i="5" s="1"/>
  <c r="I3" i="5" a="1"/>
  <c r="I3" i="5" s="1"/>
  <c r="I4" i="5" a="1"/>
  <c r="I4" i="5" s="1"/>
  <c r="J4" i="5" a="1"/>
  <c r="J4" i="5" s="1"/>
  <c r="L4" i="5" a="1"/>
  <c r="L4" i="5" s="1"/>
  <c r="K3" i="5" a="1"/>
  <c r="K3" i="5" s="1"/>
  <c r="H4" i="5" a="1"/>
  <c r="H4" i="5" s="1"/>
  <c r="O29" i="2"/>
  <c r="T15" i="2"/>
  <c r="T20" i="2" s="1"/>
  <c r="V7" i="2" s="1"/>
  <c r="L6" i="5" a="1"/>
  <c r="L6" i="5" s="1"/>
  <c r="K5" i="5" a="1"/>
  <c r="K5" i="5" s="1"/>
  <c r="J6" i="5" a="1"/>
  <c r="J6" i="5" s="1"/>
  <c r="I6" i="5" a="1"/>
  <c r="I6" i="5" s="1"/>
  <c r="H6" i="5" a="1"/>
  <c r="H6" i="5" s="1"/>
  <c r="K6" i="5" a="1"/>
  <c r="K6" i="5" s="1"/>
  <c r="L7" i="5" a="1"/>
  <c r="L7" i="5" s="1"/>
  <c r="J7" i="5" a="1"/>
  <c r="J7" i="5" s="1"/>
  <c r="H7" i="5" a="1"/>
  <c r="H7" i="5" s="1"/>
  <c r="I7" i="5" a="1"/>
  <c r="I7" i="5" s="1"/>
  <c r="K7" i="5" a="1"/>
  <c r="K7" i="5" s="1"/>
  <c r="H8" i="5" a="1"/>
  <c r="H8" i="5" s="1"/>
  <c r="J8" i="5" a="1"/>
  <c r="J8" i="5" s="1"/>
  <c r="I8" i="5" a="1"/>
  <c r="I8" i="5" s="1"/>
  <c r="L8" i="5" a="1"/>
  <c r="L8" i="5" s="1"/>
  <c r="K4" i="5" a="1"/>
  <c r="K4" i="5" s="1"/>
  <c r="L5" i="5" a="1"/>
  <c r="L5" i="5" s="1"/>
  <c r="I5" i="5" a="1"/>
  <c r="I5" i="5" s="1"/>
  <c r="H5" i="5" a="1"/>
  <c r="H5" i="5" s="1"/>
  <c r="J5" i="5" a="1"/>
  <c r="J5" i="5" s="1"/>
  <c r="AA29" i="2"/>
  <c r="AF15" i="2"/>
  <c r="AF20" i="2" s="1"/>
  <c r="AH7" i="2" s="1"/>
  <c r="AH8" i="2" s="1"/>
  <c r="AH10" i="2" s="1"/>
  <c r="AH13" i="2" s="1"/>
  <c r="AM29" i="2" l="1"/>
  <c r="AP15" i="2"/>
  <c r="AP20" i="2" s="1"/>
  <c r="AR7" i="2" s="1"/>
  <c r="AR8" i="2" s="1"/>
  <c r="AR10" i="2" s="1"/>
  <c r="AR13" i="2" s="1"/>
  <c r="F16" i="2"/>
  <c r="J4" i="2" s="1"/>
  <c r="J6" i="2" s="1"/>
  <c r="J8" i="2" s="1"/>
  <c r="J10" i="2" s="1"/>
  <c r="J13" i="2" s="1"/>
  <c r="F50" i="2"/>
  <c r="F13" i="14" s="1"/>
  <c r="E14" i="14"/>
  <c r="D17" i="14"/>
  <c r="E52" i="2" a="1"/>
  <c r="E52" i="2" s="1"/>
  <c r="F9" i="14" s="1"/>
  <c r="D18" i="14" a="1"/>
  <c r="D18" i="14" s="1"/>
  <c r="F46" i="2"/>
  <c r="E15" i="14" l="1"/>
  <c r="E53" i="2" a="1"/>
  <c r="J14" i="2"/>
  <c r="T1" i="2" s="1"/>
  <c r="O2" i="2" s="1"/>
  <c r="F51" i="2" a="1"/>
  <c r="F51" i="2" s="1"/>
  <c r="F14" i="14" s="1"/>
  <c r="O5" i="2" l="1"/>
  <c r="J21" i="2"/>
  <c r="J15" i="2"/>
  <c r="J18" i="2" s="1"/>
  <c r="G8" i="14"/>
  <c r="E54" i="2" a="1"/>
  <c r="E54" i="2" s="1"/>
  <c r="E53" i="2"/>
  <c r="E17" i="14" l="1"/>
  <c r="F11" i="14"/>
  <c r="O16" i="2"/>
  <c r="O50" i="2"/>
  <c r="F10" i="14"/>
  <c r="E16" i="14"/>
  <c r="E18" i="14" a="1"/>
  <c r="E18" i="14" s="1"/>
  <c r="E55" i="2"/>
  <c r="V17" i="2"/>
  <c r="J19" i="2"/>
  <c r="O11" i="2" s="1"/>
  <c r="P11" i="2" s="1"/>
  <c r="Q11" i="2" s="1"/>
  <c r="R11" i="2" s="1"/>
  <c r="O46" i="2"/>
  <c r="P2" i="2" s="1"/>
  <c r="P5" i="2" s="1"/>
  <c r="F52" i="2" l="1" a="1"/>
  <c r="F52" i="2" s="1"/>
  <c r="G13" i="14"/>
  <c r="F53" i="2" l="1" a="1"/>
  <c r="F53" i="2" s="1"/>
  <c r="F18" i="14" s="1" a="1"/>
  <c r="F18" i="14" s="1"/>
  <c r="F54" i="2" a="1"/>
  <c r="F54" i="2" s="1"/>
  <c r="F15" i="14"/>
  <c r="G9" i="14"/>
  <c r="O51" i="2" l="1" a="1"/>
  <c r="O51" i="2" s="1"/>
  <c r="G11" i="14"/>
  <c r="F17" i="14"/>
  <c r="G10" i="14"/>
  <c r="F16" i="14"/>
  <c r="F55" i="2"/>
  <c r="O52" i="2" l="1" a="1"/>
  <c r="O52" i="2" s="1"/>
  <c r="H9" i="14" s="1"/>
  <c r="H8" i="14"/>
  <c r="G14" i="14"/>
  <c r="P16" i="2" l="1"/>
  <c r="P50" i="2"/>
  <c r="H13" i="14"/>
  <c r="P51" i="2" a="1"/>
  <c r="P51" i="2" s="1"/>
  <c r="H14" i="14" s="1"/>
  <c r="O53" i="2" a="1"/>
  <c r="O53" i="2" s="1"/>
  <c r="O54" i="2" s="1" a="1"/>
  <c r="O54" i="2" s="1"/>
  <c r="G15" i="14"/>
  <c r="G17" i="14" l="1"/>
  <c r="H11" i="14"/>
  <c r="G16" i="14"/>
  <c r="H10" i="14"/>
  <c r="O55" i="2"/>
  <c r="G18" i="14" a="1"/>
  <c r="G18" i="14" s="1"/>
  <c r="P52" i="2" a="1"/>
  <c r="P52" i="2" s="1"/>
  <c r="P53" i="2" s="1" a="1"/>
  <c r="P53" i="2" s="1"/>
  <c r="P46" i="2"/>
  <c r="Q2" i="2" s="1"/>
  <c r="Q5" i="2" s="1"/>
  <c r="I8" i="14"/>
  <c r="P54" i="2" l="1" a="1"/>
  <c r="P54" i="2" s="1"/>
  <c r="I9" i="14"/>
  <c r="H15" i="14"/>
  <c r="Q50" i="2"/>
  <c r="Q16" i="2"/>
  <c r="Q51" i="2" a="1"/>
  <c r="Q51" i="2" s="1"/>
  <c r="I13" i="14"/>
  <c r="I10" i="14"/>
  <c r="H16" i="14"/>
  <c r="Q46" i="2" l="1"/>
  <c r="I11" i="14"/>
  <c r="H17" i="14"/>
  <c r="Q52" i="2" a="1"/>
  <c r="Q52" i="2" s="1"/>
  <c r="I15" i="14" s="1"/>
  <c r="Q53" i="2" a="1"/>
  <c r="Q53" i="2" s="1"/>
  <c r="Q54" i="2" s="1" a="1"/>
  <c r="Q54" i="2" s="1"/>
  <c r="I14" i="14"/>
  <c r="J8" i="14"/>
  <c r="P55" i="2"/>
  <c r="H18" i="14" a="1"/>
  <c r="H18" i="14" s="1"/>
  <c r="J11" i="14" l="1"/>
  <c r="I17" i="14"/>
  <c r="I18" i="14" a="1"/>
  <c r="I18" i="14" s="1"/>
  <c r="R50" i="2"/>
  <c r="R16" i="2"/>
  <c r="V4" i="2" s="1"/>
  <c r="V6" i="2" s="1"/>
  <c r="V8" i="2" s="1"/>
  <c r="V10" i="2" s="1"/>
  <c r="V13" i="2" s="1"/>
  <c r="R51" i="2" a="1"/>
  <c r="R51" i="2" s="1"/>
  <c r="J10" i="14"/>
  <c r="I16" i="14"/>
  <c r="Q55" i="2"/>
  <c r="U78" i="2"/>
  <c r="U77" i="2"/>
  <c r="U76" i="2"/>
  <c r="U75" i="2"/>
  <c r="V78" i="2"/>
  <c r="R2" i="2"/>
  <c r="R5" i="2" s="1"/>
  <c r="R46" i="2" s="1"/>
  <c r="U79" i="2"/>
  <c r="V77" i="2"/>
  <c r="V75" i="2"/>
  <c r="V76" i="2"/>
  <c r="V79" i="2"/>
  <c r="J9" i="14"/>
  <c r="V14" i="2" l="1"/>
  <c r="AF1" i="2" s="1"/>
  <c r="AA2" i="2" s="1"/>
  <c r="AA5" i="2" s="1"/>
  <c r="J13" i="14"/>
  <c r="R52" i="2" a="1"/>
  <c r="R52" i="2" s="1"/>
  <c r="K9" i="14" s="1"/>
  <c r="J14" i="14"/>
  <c r="K8" i="14"/>
  <c r="AA16" i="2" l="1"/>
  <c r="AA46" i="2" s="1"/>
  <c r="AB2" i="2" s="1"/>
  <c r="AB5" i="2" s="1"/>
  <c r="AA50" i="2"/>
  <c r="V15" i="2"/>
  <c r="R53" i="2" a="1"/>
  <c r="R53" i="2" s="1"/>
  <c r="J15" i="14"/>
  <c r="K10" i="14" l="1"/>
  <c r="J16" i="14"/>
  <c r="V18" i="2"/>
  <c r="V19" i="2" s="1"/>
  <c r="AA11" i="2" s="1"/>
  <c r="AB11" i="2" s="1"/>
  <c r="AC11" i="2" s="1"/>
  <c r="AD11" i="2" s="1"/>
  <c r="AH17" i="2"/>
  <c r="K13" i="14"/>
  <c r="AA51" i="2" a="1"/>
  <c r="AA51" i="2" s="1"/>
  <c r="R54" i="2" a="1"/>
  <c r="R54" i="2" s="1"/>
  <c r="J18" i="14" s="1" a="1"/>
  <c r="J18" i="14" s="1"/>
  <c r="AA52" i="2" l="1" a="1"/>
  <c r="AA52" i="2" s="1"/>
  <c r="J17" i="14"/>
  <c r="K11" i="14"/>
  <c r="R55" i="2"/>
  <c r="K14" i="14"/>
  <c r="L8" i="14"/>
  <c r="AH14" i="2"/>
  <c r="L9" i="14" l="1"/>
  <c r="AB50" i="2"/>
  <c r="AB16" i="2"/>
  <c r="AB46" i="2" s="1"/>
  <c r="AC2" i="2" s="1"/>
  <c r="AC5" i="2" s="1"/>
  <c r="L13" i="14"/>
  <c r="K15" i="14"/>
  <c r="AA53" i="2" a="1"/>
  <c r="AA53" i="2" s="1"/>
  <c r="AA54" i="2" s="1" a="1"/>
  <c r="AA54" i="2" s="1"/>
  <c r="AP1" i="2"/>
  <c r="AH15" i="2"/>
  <c r="L11" i="14" l="1"/>
  <c r="K17" i="14"/>
  <c r="K18" i="14" a="1"/>
  <c r="K18" i="14" s="1"/>
  <c r="L10" i="14"/>
  <c r="AH18" i="2"/>
  <c r="AH19" i="2" s="1"/>
  <c r="AK11" i="2" s="1"/>
  <c r="AL11" i="2" s="1"/>
  <c r="AM11" i="2" s="1"/>
  <c r="AN11" i="2" s="1"/>
  <c r="AR17" i="2"/>
  <c r="AR14" i="2" s="1"/>
  <c r="AR15" i="2" s="1"/>
  <c r="AR18" i="2" s="1"/>
  <c r="AR19" i="2" s="1"/>
  <c r="K16" i="14"/>
  <c r="AA55" i="2"/>
  <c r="AB51" i="2" a="1"/>
  <c r="AB51" i="2" s="1"/>
  <c r="M8" i="14" l="1"/>
  <c r="AB53" i="2" a="1"/>
  <c r="AB53" i="2" s="1"/>
  <c r="M10" i="14" s="1"/>
  <c r="L14" i="14"/>
  <c r="AB52" i="2" a="1"/>
  <c r="AB52" i="2" s="1"/>
  <c r="AB54" i="2" s="1" a="1"/>
  <c r="AB54" i="2" s="1"/>
  <c r="L17" i="14" l="1"/>
  <c r="M11" i="14"/>
  <c r="L16" i="14"/>
  <c r="AB55" i="2"/>
  <c r="L18" i="14" a="1"/>
  <c r="L18" i="14" s="1"/>
  <c r="M9" i="14"/>
  <c r="L15" i="14"/>
  <c r="AC50" i="2"/>
  <c r="AC51" i="2" s="1" a="1"/>
  <c r="AC51" i="2" s="1"/>
  <c r="AC16" i="2"/>
  <c r="AC46" i="2" s="1"/>
  <c r="AD2" i="2" s="1"/>
  <c r="AD5" i="2" s="1"/>
  <c r="M13" i="14" l="1"/>
  <c r="AC52" i="2" a="1"/>
  <c r="AC52" i="2" s="1"/>
  <c r="AC53" i="2" a="1"/>
  <c r="AC53" i="2" s="1"/>
  <c r="AC54" i="2" s="1" a="1"/>
  <c r="AC54" i="2" s="1"/>
  <c r="M14" i="14"/>
  <c r="N8" i="14"/>
  <c r="M17" i="14" l="1"/>
  <c r="N11" i="14"/>
  <c r="AC55" i="2"/>
  <c r="N10" i="14"/>
  <c r="AD50" i="2"/>
  <c r="AD16" i="2"/>
  <c r="AD46" i="2" s="1"/>
  <c r="AK2" i="2" s="1"/>
  <c r="AK5" i="2" s="1"/>
  <c r="M18" i="14" a="1"/>
  <c r="M18" i="14" s="1"/>
  <c r="M16" i="14"/>
  <c r="M15" i="14"/>
  <c r="N9" i="14"/>
  <c r="AD51" i="2" s="1" a="1"/>
  <c r="AD51" i="2" s="1"/>
  <c r="O8" i="14" l="1"/>
  <c r="N14" i="14"/>
  <c r="N13" i="14"/>
  <c r="AD52" i="2" a="1"/>
  <c r="AD52" i="2" s="1"/>
  <c r="AD53" i="2" a="1"/>
  <c r="AD53" i="2" s="1"/>
  <c r="AD54" i="2" s="1" a="1"/>
  <c r="AD54" i="2" s="1"/>
  <c r="N17" i="14" l="1"/>
  <c r="O11" i="14"/>
  <c r="AD55" i="2"/>
  <c r="N15" i="14"/>
  <c r="O9" i="14"/>
  <c r="N18" i="14" a="1"/>
  <c r="N18" i="14" s="1"/>
  <c r="O10" i="14"/>
  <c r="N16" i="14"/>
  <c r="AK16" i="2"/>
  <c r="AK46" i="2" s="1"/>
  <c r="AL2" i="2" s="1"/>
  <c r="AL5" i="2" s="1"/>
  <c r="AK50" i="2"/>
  <c r="O13" i="14" l="1"/>
  <c r="AK51" i="2" a="1"/>
  <c r="AK51" i="2" s="1"/>
  <c r="AK52" i="2" s="1" a="1"/>
  <c r="AK52" i="2" s="1"/>
  <c r="O15" i="14" l="1"/>
  <c r="P9" i="14"/>
  <c r="P8" i="14"/>
  <c r="O14" i="14"/>
  <c r="AK53" i="2" a="1"/>
  <c r="AK53" i="2" s="1"/>
  <c r="O16" i="14" l="1"/>
  <c r="P10" i="14"/>
  <c r="AL16" i="2"/>
  <c r="AL46" i="2" s="1"/>
  <c r="AM2" i="2" s="1"/>
  <c r="AM5" i="2" s="1"/>
  <c r="AL50" i="2"/>
  <c r="AL51" i="2" s="1" a="1"/>
  <c r="AK54" i="2" a="1"/>
  <c r="AK54" i="2" s="1"/>
  <c r="AK55" i="2" s="1"/>
  <c r="AL51" i="2" l="1"/>
  <c r="Q8" i="14" s="1"/>
  <c r="O18" i="14" a="1"/>
  <c r="O18" i="14" s="1"/>
  <c r="P13" i="14"/>
  <c r="AL52" i="2" a="1"/>
  <c r="AL52" i="2" s="1"/>
  <c r="O17" i="14"/>
  <c r="P11" i="14"/>
  <c r="P15" i="14" l="1"/>
  <c r="AL53" i="2" a="1"/>
  <c r="AL53" i="2" s="1"/>
  <c r="AL54" i="2" s="1" a="1"/>
  <c r="AL54" i="2" s="1"/>
  <c r="Q9" i="14"/>
  <c r="AM16" i="2"/>
  <c r="AM46" i="2" s="1"/>
  <c r="AN2" i="2" s="1"/>
  <c r="AN5" i="2" s="1"/>
  <c r="AM50" i="2"/>
  <c r="Q13" i="14" s="1"/>
  <c r="P14" i="14"/>
  <c r="P17" i="14" l="1"/>
  <c r="Q11" i="14"/>
  <c r="P16" i="14"/>
  <c r="P18" i="14" a="1"/>
  <c r="P18" i="14" s="1"/>
  <c r="AM51" i="2" a="1"/>
  <c r="AM51" i="2" s="1"/>
  <c r="AM52" i="2" s="1" a="1"/>
  <c r="AM52" i="2" s="1"/>
  <c r="Q10" i="14"/>
  <c r="AL55" i="2"/>
  <c r="Q14" i="14" l="1"/>
  <c r="R8" i="14"/>
  <c r="R9" i="14"/>
  <c r="Q15" i="14"/>
  <c r="AM53" i="2" a="1"/>
  <c r="AM53" i="2" s="1"/>
  <c r="R10" i="14" l="1"/>
  <c r="Q16" i="14"/>
  <c r="AM54" i="2" a="1"/>
  <c r="AM54" i="2" s="1"/>
  <c r="Q18" i="14" s="1" a="1"/>
  <c r="Q18" i="14" s="1"/>
  <c r="AN50" i="2"/>
  <c r="AN51" i="2" s="1" a="1"/>
  <c r="AN51" i="2" s="1"/>
  <c r="R14" i="14" s="1"/>
  <c r="AN16" i="2"/>
  <c r="AN46" i="2" s="1"/>
  <c r="AN52" i="2" l="1" a="1"/>
  <c r="AN52" i="2" s="1"/>
  <c r="AN53" i="2" s="1" a="1"/>
  <c r="AN53" i="2" s="1"/>
  <c r="R13" i="14"/>
  <c r="Q17" i="14"/>
  <c r="R11" i="14"/>
  <c r="AM55" i="2"/>
  <c r="R16" i="14" l="1"/>
  <c r="AN54" i="2" a="1"/>
  <c r="AN54" i="2" s="1"/>
  <c r="R17" i="14" s="1"/>
  <c r="R15" i="14"/>
  <c r="R18" i="14" l="1" a="1"/>
  <c r="R18" i="14" s="1"/>
  <c r="AN5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24647</author>
  </authors>
  <commentList>
    <comment ref="F25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24647:</t>
        </r>
        <r>
          <rPr>
            <sz val="9"/>
            <rFont val="宋体"/>
            <family val="3"/>
            <charset val="134"/>
          </rPr>
          <t xml:space="preserve">
涨薪的多付的工资会计入激励里，不会计入工资里</t>
        </r>
      </text>
    </comment>
    <comment ref="J26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24647:</t>
        </r>
        <r>
          <rPr>
            <sz val="9"/>
            <rFont val="宋体"/>
            <family val="3"/>
            <charset val="134"/>
          </rPr>
          <t xml:space="preserve">
记得看第几季度交货</t>
        </r>
      </text>
    </comment>
    <comment ref="C48" authorId="0" shapeId="0" xr:uid="{00000000-0006-0000-0200-000003000000}">
      <text>
        <r>
          <rPr>
            <b/>
            <sz val="9"/>
            <rFont val="宋体"/>
            <family val="3"/>
            <charset val="134"/>
          </rPr>
          <t>24647:</t>
        </r>
        <r>
          <rPr>
            <sz val="9"/>
            <rFont val="宋体"/>
            <family val="3"/>
            <charset val="134"/>
          </rPr>
          <t xml:space="preserve">
这里需要自己向上取整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<sst xmlns="http://schemas.openxmlformats.org/spreadsheetml/2006/main" count="1451" uniqueCount="319">
  <si>
    <t>规则参数</t>
  </si>
  <si>
    <t>股东资本</t>
  </si>
  <si>
    <t>贷款倍数</t>
  </si>
  <si>
    <t>管理费</t>
  </si>
  <si>
    <t xml:space="preserve">使用说明：1.规则表绿色代表表格引用数据，表格公式计算结果会根据绿色区域填入的规则实时更改，白色区域不可更改
2.灰色代表有公式，尽量不要乱动
3.黄色同样有公式，但如有需要可以根据实际情况更改
4.白色和橙色代表需要手动填入的数据
5.注意！！！维护费、折旧、销售收入、激励、工资这些数据仅为参考值，可用于协助做方案，实际操作时需根据实际情况更改
6.如需使用12小时制，需自行修改激励或辞退福利
7.涨薪行为默认下一年年初辞退，不再多给工资，且辞退福利需要自己计算
8.该表格需要使用WPS2019以后的版本或excel365版本打开，否则会出现部分报错情况
</t>
  </si>
  <si>
    <t>税率</t>
  </si>
  <si>
    <t>1季短贷</t>
  </si>
  <si>
    <t>4季短贷</t>
  </si>
  <si>
    <t>2年长贷</t>
  </si>
  <si>
    <t>贴现</t>
  </si>
  <si>
    <t>利率</t>
  </si>
  <si>
    <t>线型名称</t>
  </si>
  <si>
    <t>购买价格（元）</t>
  </si>
  <si>
    <t>安装周期（季）</t>
  </si>
  <si>
    <t>生产周期（季）</t>
  </si>
  <si>
    <t>产量</t>
  </si>
  <si>
    <t>转产周期（季）</t>
  </si>
  <si>
    <t>转产价格（元）</t>
  </si>
  <si>
    <t>残值（元）</t>
  </si>
  <si>
    <t>维修费用（元）</t>
  </si>
  <si>
    <t>普通工</t>
  </si>
  <si>
    <t>高级工</t>
  </si>
  <si>
    <t>碳排放量</t>
  </si>
  <si>
    <t>折旧年限</t>
  </si>
  <si>
    <t>普通效率（%）</t>
  </si>
  <si>
    <t>高级效率（%）</t>
  </si>
  <si>
    <t>8小时总产量</t>
  </si>
  <si>
    <t>12小时总产量</t>
  </si>
  <si>
    <t>单条线工
资（季）</t>
  </si>
  <si>
    <t>单条线生
产费用</t>
  </si>
  <si>
    <t>单条线总激励</t>
  </si>
  <si>
    <t>每次8小时消耗费用</t>
  </si>
  <si>
    <t>每次12小时消耗费用</t>
  </si>
  <si>
    <t>单条线涨薪总费用</t>
  </si>
  <si>
    <t>每次线涨薪费用</t>
  </si>
  <si>
    <t>传统线</t>
  </si>
  <si>
    <t>自动线</t>
  </si>
  <si>
    <t>智能线</t>
  </si>
  <si>
    <t>产品编号</t>
  </si>
  <si>
    <t>产品成本</t>
  </si>
  <si>
    <t>R1</t>
  </si>
  <si>
    <t>R2</t>
  </si>
  <si>
    <t>R3</t>
  </si>
  <si>
    <t>R4</t>
  </si>
  <si>
    <t>R5</t>
  </si>
  <si>
    <t>材料总费用</t>
  </si>
  <si>
    <t>名称</t>
  </si>
  <si>
    <t>编码</t>
  </si>
  <si>
    <t>初始期望工资（元）</t>
  </si>
  <si>
    <t>计件</t>
  </si>
  <si>
    <t>每季度数量</t>
  </si>
  <si>
    <t>效率（%）</t>
  </si>
  <si>
    <t>12小时制</t>
  </si>
  <si>
    <t>初级工</t>
  </si>
  <si>
    <t>GR1</t>
  </si>
  <si>
    <t>单个成本</t>
  </si>
  <si>
    <t>成本利润率</t>
  </si>
  <si>
    <t>GR2</t>
  </si>
  <si>
    <t>利润</t>
  </si>
  <si>
    <t>激励名称</t>
  </si>
  <si>
    <t>提升效率比例（%）</t>
  </si>
  <si>
    <t>每1%需要费用</t>
  </si>
  <si>
    <t>奖金激励</t>
  </si>
  <si>
    <t>JL1</t>
  </si>
  <si>
    <t>送货周期</t>
  </si>
  <si>
    <t>涨薪激励</t>
  </si>
  <si>
    <t>JL2</t>
  </si>
  <si>
    <t>账期</t>
  </si>
  <si>
    <t>材料价格</t>
  </si>
  <si>
    <t>班次名称</t>
  </si>
  <si>
    <t>班次编码</t>
  </si>
  <si>
    <t>产量加成（倍）</t>
  </si>
  <si>
    <t>效率损失（%）</t>
  </si>
  <si>
    <t>8小时制</t>
  </si>
  <si>
    <t>BC1</t>
  </si>
  <si>
    <t>正单与补单利润差</t>
  </si>
  <si>
    <t>BC2</t>
  </si>
  <si>
    <t>8小时</t>
  </si>
  <si>
    <t>12小时</t>
  </si>
  <si>
    <t>第一年</t>
  </si>
  <si>
    <t>第二年</t>
  </si>
  <si>
    <t>第三年</t>
  </si>
  <si>
    <t>第四年</t>
  </si>
  <si>
    <t>第一季</t>
  </si>
  <si>
    <t>第二季</t>
  </si>
  <si>
    <t>第三季</t>
  </si>
  <si>
    <t>第四季</t>
  </si>
  <si>
    <t>需填</t>
  </si>
  <si>
    <t>0期</t>
  </si>
  <si>
    <t>1期</t>
  </si>
  <si>
    <t>2期</t>
  </si>
  <si>
    <t>3期</t>
  </si>
  <si>
    <t>4期</t>
  </si>
  <si>
    <t>期初</t>
  </si>
  <si>
    <t>已收</t>
  </si>
  <si>
    <t>实时贴现值</t>
  </si>
  <si>
    <t>当季贴息</t>
  </si>
  <si>
    <t>上年所得税</t>
  </si>
  <si>
    <t>现金盘点</t>
  </si>
  <si>
    <t>综合费用表</t>
  </si>
  <si>
    <t>利润表</t>
  </si>
  <si>
    <t>损失</t>
  </si>
  <si>
    <t>项目</t>
  </si>
  <si>
    <t>值</t>
  </si>
  <si>
    <t>折旧</t>
  </si>
  <si>
    <t>销售收入</t>
  </si>
  <si>
    <t>销售收入、直接成本仅为做方案提供参考，如需精确，需自行填入</t>
  </si>
  <si>
    <t>广告费</t>
  </si>
  <si>
    <t>直接成本</t>
  </si>
  <si>
    <t>财务总监</t>
  </si>
  <si>
    <t>维修费</t>
  </si>
  <si>
    <t>毛利</t>
  </si>
  <si>
    <t>短贷还款</t>
  </si>
  <si>
    <t>转产费</t>
  </si>
  <si>
    <t>综合费用</t>
  </si>
  <si>
    <t>短贷利息</t>
  </si>
  <si>
    <t>市场开拓</t>
  </si>
  <si>
    <t>折旧前利润</t>
  </si>
  <si>
    <t>长贷还款</t>
  </si>
  <si>
    <t>产品资质</t>
  </si>
  <si>
    <t>长贷利息</t>
  </si>
  <si>
    <t>ISO 认证</t>
  </si>
  <si>
    <t>付息前利润</t>
  </si>
  <si>
    <t>贷款额度</t>
  </si>
  <si>
    <t>信息费</t>
  </si>
  <si>
    <t>财务费用</t>
  </si>
  <si>
    <t>产品设计</t>
  </si>
  <si>
    <t>营业外损失</t>
  </si>
  <si>
    <t>营业外损失用于填写卖原料的成本</t>
  </si>
  <si>
    <t>营业外收支</t>
  </si>
  <si>
    <t>辞退福利</t>
  </si>
  <si>
    <t>税前利润</t>
  </si>
  <si>
    <t>培训费</t>
  </si>
  <si>
    <t>所得税</t>
  </si>
  <si>
    <t>管理费用</t>
  </si>
  <si>
    <t>激励费</t>
  </si>
  <si>
    <t>净利润</t>
  </si>
  <si>
    <t>应收款到账</t>
  </si>
  <si>
    <t>空闲人力费</t>
  </si>
  <si>
    <t>特性研发</t>
  </si>
  <si>
    <t>利润留存</t>
  </si>
  <si>
    <t>贴息</t>
  </si>
  <si>
    <t>年度净利</t>
  </si>
  <si>
    <t>应付款</t>
  </si>
  <si>
    <t>违约金</t>
  </si>
  <si>
    <t>权益合计</t>
  </si>
  <si>
    <t>合计</t>
  </si>
  <si>
    <t>g</t>
  </si>
  <si>
    <t>碳中和</t>
  </si>
  <si>
    <t>资金余额</t>
  </si>
  <si>
    <t>拆线收入</t>
  </si>
  <si>
    <t>拆线费用</t>
  </si>
  <si>
    <t>人力总监</t>
  </si>
  <si>
    <t>工人培训</t>
  </si>
  <si>
    <t>工人激励</t>
  </si>
  <si>
    <t>产品</t>
  </si>
  <si>
    <t>工人工资</t>
  </si>
  <si>
    <t>最低价</t>
  </si>
  <si>
    <t>均价</t>
  </si>
  <si>
    <t>最高价</t>
  </si>
  <si>
    <t xml:space="preserve">2.1
</t>
  </si>
  <si>
    <t>预算</t>
  </si>
  <si>
    <t>生产总监</t>
  </si>
  <si>
    <t>原料成本</t>
  </si>
  <si>
    <t>机器设备</t>
  </si>
  <si>
    <t>转产</t>
  </si>
  <si>
    <t>（计算的是成本）</t>
  </si>
  <si>
    <t>生产费用</t>
  </si>
  <si>
    <t>维护费</t>
  </si>
  <si>
    <t>营销总监</t>
  </si>
  <si>
    <t>ISO认证</t>
  </si>
  <si>
    <t>广告投放</t>
  </si>
  <si>
    <t>第二年投广告</t>
  </si>
  <si>
    <t>需要金额</t>
  </si>
  <si>
    <t>贴现方案</t>
  </si>
  <si>
    <t>消耗金钱 (元)</t>
  </si>
  <si>
    <t>消耗时间 (季)</t>
  </si>
  <si>
    <t>最晚要开季度</t>
  </si>
  <si>
    <t>缺少金额</t>
  </si>
  <si>
    <t>囤货表（智能线）</t>
  </si>
  <si>
    <t>涨薪</t>
  </si>
  <si>
    <t>激励</t>
  </si>
  <si>
    <t>转产产线原先单个产品利润</t>
  </si>
  <si>
    <t>第一年做方案需考虑的内容</t>
  </si>
  <si>
    <t>1.全智能开，还是全自动开
2.智能开划算还是自动开划算（2.1是否16智能）
3.涨薪划算还是激励划算
4.转产划算还是开线划算
5.是否要全激励
6.要不要全开自动线</t>
  </si>
  <si>
    <t>1.看工人数量
2.看贴现有没有错误
3.原料能不能定出来
4.转产费用和涨薪费用</t>
  </si>
  <si>
    <t>涨薪方案选择</t>
  </si>
  <si>
    <t>建设计划</t>
  </si>
  <si>
    <t>P1</t>
  </si>
  <si>
    <t>P2</t>
  </si>
  <si>
    <t>P3</t>
  </si>
  <si>
    <t>P4</t>
  </si>
  <si>
    <t>P5</t>
  </si>
  <si>
    <t>拆线计划</t>
  </si>
  <si>
    <t>转产计划</t>
  </si>
  <si>
    <t>建设费用</t>
  </si>
  <si>
    <t>维修费用</t>
  </si>
  <si>
    <t>维护费为参考值，尽可能自己计算</t>
  </si>
  <si>
    <t>拆线折旧</t>
  </si>
  <si>
    <t>总工资</t>
  </si>
  <si>
    <t>激励费用</t>
  </si>
  <si>
    <t>涨薪费用</t>
  </si>
  <si>
    <t>总激励</t>
  </si>
  <si>
    <t>手工线</t>
  </si>
  <si>
    <t>转线计划</t>
  </si>
  <si>
    <t>现存产线情况</t>
  </si>
  <si>
    <t>现存计划</t>
  </si>
  <si>
    <t>能产产线情况</t>
  </si>
  <si>
    <t>产线计划</t>
  </si>
  <si>
    <t>班次选择</t>
  </si>
  <si>
    <t>生产计划（当季度开产产品数量）</t>
  </si>
  <si>
    <t>采购计划</t>
  </si>
  <si>
    <t>入库费</t>
  </si>
  <si>
    <t>生产费</t>
  </si>
  <si>
    <t>当季度开产的产品数量汇总</t>
  </si>
  <si>
    <t>当季度产成产品数量汇总</t>
  </si>
  <si>
    <t>总产量</t>
  </si>
  <si>
    <t>单条线涨薪费用</t>
  </si>
  <si>
    <t>每次激励消耗费用</t>
  </si>
  <si>
    <t>生产线名称</t>
  </si>
  <si>
    <t>涨薪损失（第一年）</t>
  </si>
  <si>
    <t>涨薪损失（第二年）</t>
  </si>
  <si>
    <t>涨薪收益(P1)</t>
  </si>
  <si>
    <t>涨薪收益(P2)</t>
  </si>
  <si>
    <t>（不带有拆线损失）</t>
  </si>
  <si>
    <t>成本</t>
  </si>
  <si>
    <t>带来的利润</t>
  </si>
  <si>
    <t>利润/成本</t>
  </si>
  <si>
    <t>年度</t>
  </si>
  <si>
    <t>季度</t>
  </si>
  <si>
    <t>市场</t>
  </si>
  <si>
    <t>特性</t>
  </si>
  <si>
    <t>供应商参考价格(元)</t>
  </si>
  <si>
    <t>数量</t>
  </si>
  <si>
    <t>交货期(季)</t>
  </si>
  <si>
    <t>账期(季)</t>
  </si>
  <si>
    <t>认证</t>
  </si>
  <si>
    <t>减去贴现后的价格</t>
  </si>
  <si>
    <t>可抢产量</t>
  </si>
  <si>
    <t>生产计划</t>
  </si>
  <si>
    <t>建线计划</t>
  </si>
  <si>
    <t>当季产能</t>
  </si>
  <si>
    <t>第一季度</t>
  </si>
  <si>
    <t>第二季度</t>
  </si>
  <si>
    <t>第三季度</t>
  </si>
  <si>
    <t>第四季度</t>
  </si>
  <si>
    <t>单条产能</t>
  </si>
  <si>
    <t>建线时长</t>
  </si>
  <si>
    <t>运输时间</t>
  </si>
  <si>
    <t>年份</t>
  </si>
  <si>
    <t>编号</t>
  </si>
  <si>
    <t>#NAME?</t>
  </si>
  <si>
    <t>国内市场</t>
  </si>
  <si>
    <t>T1</t>
  </si>
  <si>
    <t xml:space="preserve"> </t>
  </si>
  <si>
    <t>T2</t>
  </si>
  <si>
    <t>T3</t>
  </si>
  <si>
    <t>亚洲市场</t>
  </si>
  <si>
    <t>IS09000</t>
  </si>
  <si>
    <t>IS014000</t>
  </si>
  <si>
    <t>欧洲市场</t>
  </si>
  <si>
    <t>美洲市场</t>
  </si>
  <si>
    <t>IS021000</t>
  </si>
  <si>
    <t>序号</t>
  </si>
  <si>
    <t>姓名</t>
  </si>
  <si>
    <t>等级</t>
  </si>
  <si>
    <t>基础效率</t>
  </si>
  <si>
    <t>当前效率</t>
  </si>
  <si>
    <t>状态</t>
  </si>
  <si>
    <t>操作</t>
  </si>
  <si>
    <t>需激励到</t>
  </si>
  <si>
    <t>花费</t>
  </si>
  <si>
    <t>订单编号</t>
  </si>
  <si>
    <t>特性需求</t>
  </si>
  <si>
    <t>参考价</t>
  </si>
  <si>
    <t>交货期</t>
  </si>
  <si>
    <t>报价</t>
  </si>
  <si>
    <t>分配数量</t>
  </si>
  <si>
    <t>组号</t>
  </si>
  <si>
    <t>区域市场</t>
  </si>
  <si>
    <t>鼎芯 K1</t>
  </si>
  <si>
    <t>低功耗设计</t>
  </si>
  <si>
    <t>4季度</t>
  </si>
  <si>
    <t>2季度</t>
  </si>
  <si>
    <t>ISO9000</t>
  </si>
  <si>
    <t>第3组</t>
  </si>
  <si>
    <t>第2组</t>
  </si>
  <si>
    <t>高运算性能</t>
  </si>
  <si>
    <t>第11组</t>
  </si>
  <si>
    <t>第4组</t>
  </si>
  <si>
    <t>第5组</t>
  </si>
  <si>
    <t>鼎芯 K2</t>
  </si>
  <si>
    <t>第25组</t>
  </si>
  <si>
    <t>3季度</t>
  </si>
  <si>
    <t>求和项:分配数量2</t>
  </si>
  <si>
    <t>求和项:参考价</t>
  </si>
  <si>
    <t>(空白)</t>
  </si>
  <si>
    <t>总计</t>
  </si>
  <si>
    <t>季初</t>
  </si>
  <si>
    <t>实时</t>
  </si>
  <si>
    <t>排名</t>
  </si>
  <si>
    <t>企业名称</t>
  </si>
  <si>
    <t>现金</t>
  </si>
  <si>
    <t>所有者权益</t>
  </si>
  <si>
    <t>商誉</t>
  </si>
  <si>
    <t>数字化建设</t>
  </si>
  <si>
    <t>扣分</t>
  </si>
  <si>
    <t>碳中和率</t>
  </si>
  <si>
    <t>总分</t>
  </si>
  <si>
    <t>广告最大</t>
  </si>
  <si>
    <t>名次</t>
  </si>
  <si>
    <t>广告</t>
  </si>
  <si>
    <t>rank</t>
  </si>
  <si>
    <t>1.加入传统线、自动线、智能线的比较系数</t>
  </si>
  <si>
    <t>2.完善转产以及开线的比较系数</t>
  </si>
  <si>
    <t>3.计算产品利润</t>
  </si>
  <si>
    <t>4.根据输入时间（1.4）自动计算产量总额（ftextsplit）</t>
  </si>
  <si>
    <t>5.根据原料变化，求得对手方案</t>
  </si>
  <si>
    <t>sort函数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</si>
</sst>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0_);[Red]\(0.00\)"/>
    <numFmt numFmtId="177" formatCode="#,##0_ "/>
    <numFmt numFmtId="178" formatCode="#,##0_);[Red]\(#,##0\)"/>
  </numFmts>
  <fonts count="34">
    <font>
      <sz val="11"/>
      <color theme="1"/>
      <name val="宋体"/>
      <charset val="134"/>
      <scheme val="minor"/>
    </font>
    <font>
      <sz val="10.5"/>
      <color rgb="FF313131"/>
      <name val="Segoe UI"/>
      <family val="2"/>
    </font>
    <font>
      <sz val="11"/>
      <color rgb="FF313131"/>
      <name val="Segoe UI"/>
      <family val="2"/>
    </font>
    <font>
      <b/>
      <sz val="5"/>
      <color rgb="FF313131"/>
      <name val="Segoe UI"/>
      <family val="2"/>
    </font>
    <font>
      <sz val="5"/>
      <color rgb="FF313131"/>
      <name val="Segoe UI"/>
      <family val="2"/>
    </font>
    <font>
      <sz val="5"/>
      <color theme="4"/>
      <name val="Segoe UI"/>
      <family val="2"/>
    </font>
    <font>
      <sz val="5"/>
      <color rgb="FFFF0000"/>
      <name val="Segoe UI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"/>
      <color rgb="FF000000"/>
      <name val="微软雅黑"/>
      <family val="2"/>
      <charset val="134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2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theme="4" tint="0.39985351115451523"/>
      <name val="宋体"/>
      <family val="3"/>
      <charset val="134"/>
      <scheme val="minor"/>
    </font>
    <font>
      <b/>
      <sz val="11"/>
      <color theme="4" tint="0.39985351115451523"/>
      <name val="Microsoft YaHei"/>
      <charset val="134"/>
    </font>
    <font>
      <sz val="10"/>
      <color rgb="FFFF0000"/>
      <name val="Microsoft YaHei"/>
      <charset val="134"/>
    </font>
    <font>
      <sz val="10"/>
      <color theme="4" tint="0.39985351115451523"/>
      <name val="Microsoft YaHei"/>
      <charset val="134"/>
    </font>
    <font>
      <sz val="10"/>
      <name val="Microsoft YaHei"/>
      <charset val="134"/>
    </font>
    <font>
      <sz val="11"/>
      <color rgb="FF08090C"/>
      <name val="宋体"/>
      <family val="3"/>
      <charset val="134"/>
      <scheme val="minor"/>
    </font>
    <font>
      <sz val="12"/>
      <color rgb="FF08090C"/>
      <name val="宋体"/>
      <family val="3"/>
      <charset val="134"/>
    </font>
    <font>
      <sz val="12"/>
      <name val="黑体"/>
      <family val="3"/>
      <charset val="134"/>
    </font>
    <font>
      <sz val="10.5"/>
      <color theme="1"/>
      <name val="宋体"/>
      <family val="3"/>
      <charset val="134"/>
    </font>
    <font>
      <sz val="28"/>
      <color theme="1"/>
      <name val="宋体"/>
      <family val="3"/>
      <charset val="134"/>
      <scheme val="minor"/>
    </font>
    <font>
      <b/>
      <sz val="11"/>
      <color rgb="FFFFFFFF"/>
      <name val="Microsoft YaHei"/>
      <charset val="134"/>
    </font>
    <font>
      <sz val="10"/>
      <color rgb="FF000000"/>
      <name val="Microsoft YaHei"/>
      <charset val="134"/>
    </font>
    <font>
      <sz val="12"/>
      <name val="宋体"/>
      <family val="3"/>
      <charset val="134"/>
    </font>
    <font>
      <sz val="12"/>
      <color rgb="FF000000"/>
      <name val="仿宋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C0CB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89999084444715716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7" tint="0.79998168889431442"/>
        <bgColor indexed="64"/>
      </patternFill>
    </fill>
  </fills>
  <borders count="87">
    <border>
      <left/>
      <right/>
      <top/>
      <bottom/>
      <diagonal/>
    </border>
    <border>
      <left/>
      <right/>
      <top/>
      <bottom style="medium">
        <color rgb="FFF0F0F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 diagonalUp="1" diagonalDown="1">
      <left/>
      <right/>
      <top/>
      <bottom/>
      <diagonal style="thin">
        <color auto="1"/>
      </diagonal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ck">
        <color theme="7" tint="-0.249977111117893"/>
      </top>
      <bottom/>
      <diagonal/>
    </border>
    <border>
      <left/>
      <right/>
      <top/>
      <bottom style="thick">
        <color theme="7" tint="-0.249977111117893"/>
      </bottom>
      <diagonal/>
    </border>
    <border>
      <left/>
      <right/>
      <top style="thick">
        <color theme="7" tint="-0.249977111117893"/>
      </top>
      <bottom style="thick">
        <color theme="7" tint="-0.249977111117893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ck">
        <color theme="4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theme="4"/>
      </left>
      <right style="thin">
        <color theme="4" tint="0.59999389629810485"/>
      </right>
      <top style="thin">
        <color theme="4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/>
      </top>
      <bottom/>
      <diagonal/>
    </border>
    <border>
      <left style="thin">
        <color theme="4" tint="0.59999389629810485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 tint="0.59999389629810485"/>
      </right>
      <top/>
      <bottom/>
      <diagonal/>
    </border>
    <border>
      <left style="thin">
        <color theme="4" tint="0.59999389629810485"/>
      </left>
      <right/>
      <top/>
      <bottom/>
      <diagonal/>
    </border>
    <border>
      <left style="thick">
        <color theme="4"/>
      </left>
      <right style="thin">
        <color theme="4" tint="0.59999389629810485"/>
      </right>
      <top/>
      <bottom/>
      <diagonal/>
    </border>
    <border>
      <left style="thin">
        <color theme="4" tint="0.59999389629810485"/>
      </left>
      <right style="thin">
        <color theme="4" tint="0.59999389629810485"/>
      </right>
      <top/>
      <bottom/>
      <diagonal/>
    </border>
    <border>
      <left style="thin">
        <color theme="4" tint="0.59999389629810485"/>
      </left>
      <right style="thick">
        <color theme="4"/>
      </right>
      <top/>
      <bottom/>
      <diagonal/>
    </border>
    <border>
      <left style="thin">
        <color theme="4"/>
      </left>
      <right/>
      <top style="thick">
        <color theme="4"/>
      </top>
      <bottom style="thin">
        <color theme="4" tint="0.59999389629810485"/>
      </bottom>
      <diagonal/>
    </border>
    <border>
      <left style="thin">
        <color theme="4" tint="0.59999389629810485"/>
      </left>
      <right/>
      <top style="thick">
        <color theme="4"/>
      </top>
      <bottom style="thin">
        <color theme="4" tint="0.59999389629810485"/>
      </bottom>
      <diagonal/>
    </border>
    <border>
      <left style="thick">
        <color theme="4"/>
      </left>
      <right style="thin">
        <color theme="4" tint="0.59999389629810485"/>
      </right>
      <top style="thick">
        <color theme="4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ck">
        <color theme="4"/>
      </top>
      <bottom style="thin">
        <color theme="4" tint="0.59999389629810485"/>
      </bottom>
      <diagonal/>
    </border>
    <border>
      <left/>
      <right/>
      <top style="thick">
        <color theme="4"/>
      </top>
      <bottom style="thin">
        <color theme="4" tint="0.59999389629810485"/>
      </bottom>
      <diagonal/>
    </border>
    <border>
      <left style="thin">
        <color theme="4"/>
      </left>
      <right style="thin">
        <color theme="4" tint="0.59999389629810485"/>
      </right>
      <top style="thick">
        <color theme="4"/>
      </top>
      <bottom style="thin">
        <color theme="4" tint="0.59999389629810485"/>
      </bottom>
      <diagonal/>
    </border>
    <border>
      <left/>
      <right style="thick">
        <color theme="4"/>
      </right>
      <top style="thick">
        <color theme="4"/>
      </top>
      <bottom style="thin">
        <color theme="4" tint="0.59999389629810485"/>
      </bottom>
      <diagonal/>
    </border>
    <border>
      <left style="thin">
        <color theme="4"/>
      </left>
      <right/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/>
      <top style="thin">
        <color theme="4" tint="0.59999389629810485"/>
      </top>
      <bottom style="thin">
        <color theme="4" tint="0.59999389629810485"/>
      </bottom>
      <diagonal/>
    </border>
    <border>
      <left style="thick">
        <color theme="4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/>
      <right/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/>
      <right style="thick">
        <color theme="4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/>
      </left>
      <right/>
      <top style="thin">
        <color theme="4" tint="0.59999389629810485"/>
      </top>
      <bottom/>
      <diagonal/>
    </border>
    <border>
      <left style="thin">
        <color theme="4" tint="0.59999389629810485"/>
      </left>
      <right/>
      <top style="thin">
        <color theme="4" tint="0.59999389629810485"/>
      </top>
      <bottom/>
      <diagonal/>
    </border>
    <border>
      <left style="thick">
        <color theme="4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/>
      <right/>
      <top style="thin">
        <color theme="4" tint="0.59999389629810485"/>
      </top>
      <bottom/>
      <diagonal/>
    </border>
    <border>
      <left style="thin">
        <color theme="4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thick">
        <color theme="4"/>
      </right>
      <top style="thick">
        <color theme="4"/>
      </top>
      <bottom style="thin">
        <color theme="4" tint="0.59999389629810485"/>
      </bottom>
      <diagonal/>
    </border>
    <border>
      <left style="thin">
        <color theme="4" tint="0.59999389629810485"/>
      </left>
      <right style="thick">
        <color theme="4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/>
      </left>
      <right/>
      <top style="thin">
        <color theme="4" tint="0.59999389629810485"/>
      </top>
      <bottom style="thick">
        <color theme="4"/>
      </bottom>
      <diagonal/>
    </border>
    <border>
      <left style="thin">
        <color theme="4" tint="0.59999389629810485"/>
      </left>
      <right/>
      <top style="thin">
        <color theme="4" tint="0.59999389629810485"/>
      </top>
      <bottom style="thick">
        <color theme="4"/>
      </bottom>
      <diagonal/>
    </border>
    <border>
      <left style="thick">
        <color theme="4"/>
      </left>
      <right style="thin">
        <color theme="4" tint="0.59999389629810485"/>
      </right>
      <top style="thin">
        <color theme="4" tint="0.59999389629810485"/>
      </top>
      <bottom style="thick">
        <color theme="4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ck">
        <color theme="4"/>
      </bottom>
      <diagonal/>
    </border>
    <border>
      <left/>
      <right/>
      <top style="thin">
        <color theme="4" tint="0.59999389629810485"/>
      </top>
      <bottom style="thick">
        <color theme="4"/>
      </bottom>
      <diagonal/>
    </border>
    <border>
      <left style="thin">
        <color theme="4"/>
      </left>
      <right style="thin">
        <color theme="4" tint="0.59999389629810485"/>
      </right>
      <top style="thin">
        <color theme="4" tint="0.59999389629810485"/>
      </top>
      <bottom style="thick">
        <color theme="4"/>
      </bottom>
      <diagonal/>
    </border>
    <border>
      <left style="thin">
        <color theme="4" tint="0.59999389629810485"/>
      </left>
      <right style="thick">
        <color theme="4"/>
      </right>
      <top style="thin">
        <color theme="4" tint="0.59999389629810485"/>
      </top>
      <bottom style="thick">
        <color theme="4"/>
      </bottom>
      <diagonal/>
    </border>
    <border>
      <left style="thin">
        <color theme="4"/>
      </left>
      <right/>
      <top/>
      <bottom style="thick">
        <color theme="4"/>
      </bottom>
      <diagonal/>
    </border>
    <border>
      <left style="thin">
        <color theme="4" tint="0.59999389629810485"/>
      </left>
      <right/>
      <top/>
      <bottom style="thick">
        <color theme="4"/>
      </bottom>
      <diagonal/>
    </border>
    <border>
      <left style="thick">
        <color theme="4"/>
      </left>
      <right style="thin">
        <color theme="4" tint="0.59999389629810485"/>
      </right>
      <top/>
      <bottom style="thick">
        <color theme="4"/>
      </bottom>
      <diagonal/>
    </border>
    <border>
      <left style="thin">
        <color theme="4" tint="0.59999389629810485"/>
      </left>
      <right style="thin">
        <color theme="4" tint="0.59999389629810485"/>
      </right>
      <top/>
      <bottom style="thick">
        <color theme="4"/>
      </bottom>
      <diagonal/>
    </border>
    <border>
      <left style="thin">
        <color theme="4"/>
      </left>
      <right style="thin">
        <color theme="4" tint="0.59999389629810485"/>
      </right>
      <top/>
      <bottom style="thick">
        <color theme="4"/>
      </bottom>
      <diagonal/>
    </border>
    <border>
      <left/>
      <right style="thick">
        <color theme="4"/>
      </right>
      <top style="thin">
        <color theme="4" tint="0.59999389629810485"/>
      </top>
      <bottom style="thick">
        <color theme="4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37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0" fontId="1" fillId="4" borderId="1" xfId="0" applyFont="1" applyFill="1" applyBorder="1" applyAlignment="1">
      <alignment horizontal="left" wrapText="1"/>
    </xf>
    <xf numFmtId="0" fontId="0" fillId="3" borderId="0" xfId="0" applyFill="1" applyAlignment="1"/>
    <xf numFmtId="0" fontId="0" fillId="2" borderId="0" xfId="0" applyFill="1" applyAlignment="1"/>
    <xf numFmtId="0" fontId="2" fillId="5" borderId="1" xfId="0" applyFont="1" applyFill="1" applyBorder="1" applyAlignment="1">
      <alignment horizontal="left" vertical="center" wrapText="1" indent="1"/>
    </xf>
    <xf numFmtId="3" fontId="2" fillId="5" borderId="1" xfId="0" applyNumberFormat="1" applyFont="1" applyFill="1" applyBorder="1" applyAlignment="1">
      <alignment horizontal="left" vertical="center" wrapText="1" indent="1"/>
    </xf>
    <xf numFmtId="9" fontId="2" fillId="5" borderId="1" xfId="0" applyNumberFormat="1" applyFont="1" applyFill="1" applyBorder="1" applyAlignment="1">
      <alignment horizontal="left" vertical="center" wrapText="1" indent="1"/>
    </xf>
    <xf numFmtId="176" fontId="2" fillId="5" borderId="1" xfId="0" applyNumberFormat="1" applyFont="1" applyFill="1" applyBorder="1" applyAlignment="1">
      <alignment horizontal="left" vertical="center" wrapText="1" indent="1"/>
    </xf>
    <xf numFmtId="3" fontId="2" fillId="5" borderId="1" xfId="0" applyNumberFormat="1" applyFont="1" applyFill="1" applyBorder="1" applyAlignment="1">
      <alignment horizontal="center" vertical="center" wrapText="1"/>
    </xf>
    <xf numFmtId="177" fontId="0" fillId="3" borderId="0" xfId="0" applyNumberFormat="1" applyFill="1" applyAlignment="1"/>
    <xf numFmtId="177" fontId="0" fillId="2" borderId="0" xfId="0" applyNumberFormat="1" applyFill="1" applyAlignment="1"/>
    <xf numFmtId="0" fontId="2" fillId="4" borderId="1" xfId="0" applyFont="1" applyFill="1" applyBorder="1" applyAlignment="1">
      <alignment horizontal="left" vertical="center" wrapText="1" indent="1"/>
    </xf>
    <xf numFmtId="3" fontId="2" fillId="4" borderId="1" xfId="0" applyNumberFormat="1" applyFont="1" applyFill="1" applyBorder="1" applyAlignment="1">
      <alignment horizontal="left" vertical="center" wrapText="1" indent="1"/>
    </xf>
    <xf numFmtId="3" fontId="0" fillId="0" borderId="0" xfId="0" applyNumberFormat="1" applyAlignment="1"/>
    <xf numFmtId="9" fontId="2" fillId="4" borderId="1" xfId="0" applyNumberFormat="1" applyFont="1" applyFill="1" applyBorder="1" applyAlignment="1">
      <alignment horizontal="left" vertical="center" wrapText="1" indent="1"/>
    </xf>
    <xf numFmtId="176" fontId="2" fillId="4" borderId="1" xfId="0" applyNumberFormat="1" applyFont="1" applyFill="1" applyBorder="1" applyAlignment="1">
      <alignment horizontal="left" vertical="center" wrapText="1" inden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0" fontId="0" fillId="0" borderId="0" xfId="0" applyNumberFormat="1" applyAlignment="1"/>
    <xf numFmtId="177" fontId="0" fillId="2" borderId="2" xfId="0" applyNumberFormat="1" applyFill="1" applyBorder="1" applyAlignment="1">
      <alignment horizontal="center" vertical="center"/>
    </xf>
    <xf numFmtId="177" fontId="0" fillId="2" borderId="3" xfId="0" applyNumberFormat="1" applyFill="1" applyBorder="1" applyAlignment="1">
      <alignment horizontal="center" vertical="center"/>
    </xf>
    <xf numFmtId="10" fontId="0" fillId="2" borderId="3" xfId="0" applyNumberFormat="1" applyFill="1" applyBorder="1" applyAlignment="1">
      <alignment horizontal="center" vertical="center"/>
    </xf>
    <xf numFmtId="177" fontId="0" fillId="2" borderId="4" xfId="0" applyNumberFormat="1" applyFill="1" applyBorder="1" applyAlignment="1">
      <alignment horizontal="center" vertical="center"/>
    </xf>
    <xf numFmtId="177" fontId="0" fillId="2" borderId="5" xfId="0" applyNumberFormat="1" applyFill="1" applyBorder="1" applyAlignment="1">
      <alignment horizontal="center" vertical="center"/>
    </xf>
    <xf numFmtId="0" fontId="7" fillId="0" borderId="0" xfId="0" applyFont="1" applyAlignment="1"/>
    <xf numFmtId="0" fontId="8" fillId="6" borderId="6" xfId="0" applyFont="1" applyFill="1" applyBorder="1" applyAlignment="1">
      <alignment horizontal="left"/>
    </xf>
    <xf numFmtId="0" fontId="9" fillId="0" borderId="6" xfId="0" applyFont="1" applyBorder="1" applyAlignment="1">
      <alignment horizontal="left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6" xfId="0" applyFont="1" applyBorder="1" applyAlignment="1">
      <alignment horizontal="left"/>
    </xf>
    <xf numFmtId="0" fontId="13" fillId="7" borderId="7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 wrapText="1"/>
    </xf>
    <xf numFmtId="0" fontId="13" fillId="10" borderId="7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12" borderId="7" xfId="0" applyFont="1" applyFill="1" applyBorder="1" applyAlignment="1">
      <alignment horizontal="center" vertical="center" wrapText="1"/>
    </xf>
    <xf numFmtId="0" fontId="14" fillId="13" borderId="7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0" fontId="14" fillId="14" borderId="7" xfId="0" applyFont="1" applyFill="1" applyBorder="1" applyAlignment="1">
      <alignment horizontal="center" vertical="center" wrapText="1"/>
    </xf>
    <xf numFmtId="0" fontId="0" fillId="16" borderId="7" xfId="0" applyFill="1" applyBorder="1" applyAlignment="1">
      <alignment horizontal="center" vertical="center"/>
    </xf>
    <xf numFmtId="0" fontId="0" fillId="16" borderId="7" xfId="0" applyFill="1" applyBorder="1">
      <alignment vertical="center"/>
    </xf>
    <xf numFmtId="0" fontId="11" fillId="17" borderId="0" xfId="0" applyFont="1" applyFill="1">
      <alignment vertical="center"/>
    </xf>
    <xf numFmtId="0" fontId="0" fillId="17" borderId="0" xfId="0" applyFill="1">
      <alignment vertical="center"/>
    </xf>
    <xf numFmtId="0" fontId="13" fillId="0" borderId="0" xfId="0" applyFont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12" borderId="0" xfId="0" applyFont="1" applyFill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12" borderId="12" xfId="0" applyFont="1" applyFill="1" applyBorder="1" applyAlignment="1">
      <alignment horizontal="center" vertical="center" wrapText="1"/>
    </xf>
    <xf numFmtId="0" fontId="14" fillId="12" borderId="20" xfId="0" applyFont="1" applyFill="1" applyBorder="1" applyAlignment="1">
      <alignment horizontal="center" vertical="center" wrapText="1"/>
    </xf>
    <xf numFmtId="0" fontId="14" fillId="12" borderId="2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0" fontId="14" fillId="13" borderId="0" xfId="0" applyFont="1" applyFill="1" applyAlignment="1">
      <alignment horizontal="center" vertical="center" wrapText="1"/>
    </xf>
    <xf numFmtId="0" fontId="14" fillId="13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13" borderId="21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18" borderId="7" xfId="0" applyFont="1" applyFill="1" applyBorder="1" applyAlignment="1">
      <alignment horizontal="center" vertical="center" wrapText="1"/>
    </xf>
    <xf numFmtId="0" fontId="15" fillId="19" borderId="7" xfId="0" applyFont="1" applyFill="1" applyBorder="1" applyAlignment="1">
      <alignment horizontal="center" vertical="center" wrapText="1"/>
    </xf>
    <xf numFmtId="0" fontId="15" fillId="20" borderId="17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0" fillId="9" borderId="19" xfId="0" applyFill="1" applyBorder="1" applyAlignment="1">
      <alignment horizontal="center" vertical="center" wrapText="1"/>
    </xf>
    <xf numFmtId="0" fontId="0" fillId="21" borderId="7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18" borderId="17" xfId="0" applyFont="1" applyFill="1" applyBorder="1" applyAlignment="1">
      <alignment horizontal="center" vertical="center" wrapText="1"/>
    </xf>
    <xf numFmtId="0" fontId="0" fillId="22" borderId="23" xfId="0" applyFill="1" applyBorder="1">
      <alignment vertical="center"/>
    </xf>
    <xf numFmtId="0" fontId="0" fillId="22" borderId="24" xfId="0" applyFill="1" applyBorder="1">
      <alignment vertical="center"/>
    </xf>
    <xf numFmtId="0" fontId="11" fillId="22" borderId="25" xfId="0" applyFont="1" applyFill="1" applyBorder="1" applyAlignment="1">
      <alignment horizontal="center" vertical="center"/>
    </xf>
    <xf numFmtId="0" fontId="11" fillId="22" borderId="25" xfId="0" applyFont="1" applyFill="1" applyBorder="1">
      <alignment vertical="center"/>
    </xf>
    <xf numFmtId="0" fontId="11" fillId="22" borderId="26" xfId="0" applyFont="1" applyFill="1" applyBorder="1">
      <alignment vertical="center"/>
    </xf>
    <xf numFmtId="0" fontId="11" fillId="22" borderId="24" xfId="0" applyFont="1" applyFill="1" applyBorder="1" applyAlignment="1">
      <alignment horizontal="center" vertical="center"/>
    </xf>
    <xf numFmtId="0" fontId="11" fillId="22" borderId="24" xfId="0" applyFont="1" applyFill="1" applyBorder="1">
      <alignment vertical="center"/>
    </xf>
    <xf numFmtId="0" fontId="11" fillId="22" borderId="27" xfId="0" applyFont="1" applyFill="1" applyBorder="1">
      <alignment vertical="center"/>
    </xf>
    <xf numFmtId="0" fontId="0" fillId="2" borderId="0" xfId="0" applyFill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1" fillId="24" borderId="0" xfId="0" applyFont="1" applyFill="1" applyAlignment="1">
      <alignment horizontal="center"/>
    </xf>
    <xf numFmtId="0" fontId="0" fillId="2" borderId="7" xfId="0" applyFill="1" applyBorder="1" applyAlignment="1"/>
    <xf numFmtId="0" fontId="0" fillId="25" borderId="0" xfId="0" applyFill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0" fillId="25" borderId="12" xfId="0" applyFill="1" applyBorder="1" applyAlignment="1">
      <alignment horizontal="center" vertical="center"/>
    </xf>
    <xf numFmtId="0" fontId="0" fillId="25" borderId="13" xfId="0" applyFill="1" applyBorder="1" applyAlignment="1">
      <alignment horizontal="center" vertical="center"/>
    </xf>
    <xf numFmtId="0" fontId="0" fillId="25" borderId="22" xfId="0" applyFill="1" applyBorder="1" applyAlignment="1">
      <alignment horizontal="center" vertical="center"/>
    </xf>
    <xf numFmtId="0" fontId="0" fillId="25" borderId="20" xfId="0" applyFill="1" applyBorder="1" applyAlignment="1">
      <alignment horizontal="center" vertical="center"/>
    </xf>
    <xf numFmtId="0" fontId="0" fillId="25" borderId="28" xfId="0" applyFill="1" applyBorder="1" applyAlignment="1">
      <alignment horizontal="center" vertical="center"/>
    </xf>
    <xf numFmtId="0" fontId="0" fillId="25" borderId="21" xfId="0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26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3" borderId="29" xfId="0" applyFill="1" applyBorder="1" applyAlignment="1">
      <alignment horizontal="center"/>
    </xf>
    <xf numFmtId="0" fontId="11" fillId="13" borderId="0" xfId="0" applyFont="1" applyFill="1" applyAlignment="1">
      <alignment horizontal="center"/>
    </xf>
    <xf numFmtId="0" fontId="0" fillId="26" borderId="0" xfId="0" applyFill="1" applyAlignment="1"/>
    <xf numFmtId="0" fontId="0" fillId="26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horizontal="center" vertical="center" wrapText="1"/>
    </xf>
    <xf numFmtId="0" fontId="0" fillId="27" borderId="11" xfId="0" applyFill="1" applyBorder="1" applyAlignment="1">
      <alignment horizontal="center" vertical="center"/>
    </xf>
    <xf numFmtId="0" fontId="0" fillId="27" borderId="22" xfId="0" applyFill="1" applyBorder="1" applyAlignment="1">
      <alignment horizontal="center" vertical="center"/>
    </xf>
    <xf numFmtId="0" fontId="0" fillId="27" borderId="28" xfId="0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0" fillId="27" borderId="12" xfId="0" applyFill="1" applyBorder="1" applyAlignment="1">
      <alignment horizontal="center" vertical="center"/>
    </xf>
    <xf numFmtId="0" fontId="0" fillId="27" borderId="13" xfId="0" applyFill="1" applyBorder="1" applyAlignment="1">
      <alignment horizontal="center" vertical="center"/>
    </xf>
    <xf numFmtId="0" fontId="0" fillId="25" borderId="0" xfId="0" applyFill="1" applyAlignment="1">
      <alignment horizontal="center" vertical="center" wrapText="1"/>
    </xf>
    <xf numFmtId="0" fontId="0" fillId="27" borderId="0" xfId="0" applyFill="1" applyAlignment="1">
      <alignment horizontal="center" vertical="center"/>
    </xf>
    <xf numFmtId="0" fontId="0" fillId="27" borderId="20" xfId="0" applyFill="1" applyBorder="1" applyAlignment="1">
      <alignment horizontal="center" vertical="center"/>
    </xf>
    <xf numFmtId="0" fontId="0" fillId="27" borderId="21" xfId="0" applyFill="1" applyBorder="1" applyAlignment="1">
      <alignment horizontal="center" vertical="center"/>
    </xf>
    <xf numFmtId="0" fontId="0" fillId="27" borderId="30" xfId="0" applyFill="1" applyBorder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0" fontId="0" fillId="9" borderId="0" xfId="0" applyFill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13" fillId="19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9" borderId="19" xfId="0" applyFont="1" applyFill="1" applyBorder="1" applyAlignment="1">
      <alignment horizontal="center" vertical="center" wrapText="1"/>
    </xf>
    <xf numFmtId="0" fontId="18" fillId="0" borderId="0" xfId="0" applyFont="1" applyAlignment="1" applyProtection="1">
      <alignment horizontal="center" vertical="center" wrapText="1"/>
      <protection locked="0"/>
    </xf>
    <xf numFmtId="0" fontId="13" fillId="19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0" fillId="19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 applyProtection="1">
      <alignment horizontal="center" vertical="center" wrapText="1"/>
      <protection locked="0"/>
    </xf>
    <xf numFmtId="0" fontId="14" fillId="9" borderId="19" xfId="0" applyFont="1" applyFill="1" applyBorder="1" applyAlignment="1">
      <alignment horizontal="center" vertical="center" wrapText="1"/>
    </xf>
    <xf numFmtId="0" fontId="14" fillId="9" borderId="7" xfId="0" applyFont="1" applyFill="1" applyBorder="1" applyAlignment="1">
      <alignment horizontal="center" vertical="center" wrapText="1"/>
    </xf>
    <xf numFmtId="178" fontId="14" fillId="0" borderId="7" xfId="0" applyNumberFormat="1" applyFont="1" applyBorder="1" applyAlignment="1" applyProtection="1">
      <alignment horizontal="center" vertical="center" wrapText="1"/>
      <protection locked="0"/>
    </xf>
    <xf numFmtId="0" fontId="14" fillId="0" borderId="7" xfId="0" applyFont="1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178" fontId="0" fillId="0" borderId="7" xfId="0" applyNumberFormat="1" applyBorder="1" applyAlignment="1" applyProtection="1">
      <alignment horizontal="center" vertical="center"/>
      <protection locked="0"/>
    </xf>
    <xf numFmtId="0" fontId="14" fillId="9" borderId="17" xfId="0" applyFont="1" applyFill="1" applyBorder="1" applyAlignment="1">
      <alignment horizontal="center" vertical="center" wrapText="1"/>
    </xf>
    <xf numFmtId="0" fontId="20" fillId="0" borderId="0" xfId="0" applyFont="1" applyAlignment="1" applyProtection="1">
      <alignment horizontal="center" vertical="center" wrapText="1"/>
      <protection locked="0"/>
    </xf>
    <xf numFmtId="3" fontId="14" fillId="0" borderId="6" xfId="0" applyNumberFormat="1" applyFont="1" applyBorder="1" applyAlignment="1" applyProtection="1">
      <alignment horizontal="center" vertical="center" wrapText="1"/>
      <protection locked="0"/>
    </xf>
    <xf numFmtId="178" fontId="14" fillId="28" borderId="6" xfId="0" applyNumberFormat="1" applyFont="1" applyFill="1" applyBorder="1" applyAlignment="1" applyProtection="1">
      <alignment horizontal="center" vertical="center" wrapText="1"/>
      <protection locked="0"/>
    </xf>
    <xf numFmtId="178" fontId="14" fillId="28" borderId="7" xfId="0" applyNumberFormat="1" applyFont="1" applyFill="1" applyBorder="1" applyAlignment="1" applyProtection="1">
      <alignment horizontal="center" vertical="center" wrapText="1"/>
      <protection locked="0"/>
    </xf>
    <xf numFmtId="178" fontId="0" fillId="28" borderId="7" xfId="0" applyNumberFormat="1" applyFill="1" applyBorder="1" applyAlignment="1" applyProtection="1">
      <alignment horizontal="center" vertical="center"/>
      <protection locked="0"/>
    </xf>
    <xf numFmtId="0" fontId="21" fillId="13" borderId="6" xfId="0" applyFont="1" applyFill="1" applyBorder="1" applyAlignment="1" applyProtection="1">
      <alignment horizontal="center" vertical="center" wrapText="1"/>
      <protection locked="0"/>
    </xf>
    <xf numFmtId="0" fontId="14" fillId="13" borderId="7" xfId="0" applyFont="1" applyFill="1" applyBorder="1" applyAlignment="1" applyProtection="1">
      <alignment horizontal="center" vertical="center" wrapText="1"/>
      <protection locked="0"/>
    </xf>
    <xf numFmtId="0" fontId="14" fillId="29" borderId="19" xfId="0" applyFont="1" applyFill="1" applyBorder="1" applyAlignment="1">
      <alignment horizontal="center" vertical="center" wrapText="1"/>
    </xf>
    <xf numFmtId="0" fontId="14" fillId="29" borderId="7" xfId="0" applyFont="1" applyFill="1" applyBorder="1" applyAlignment="1">
      <alignment horizontal="center" vertical="center" wrapText="1"/>
    </xf>
    <xf numFmtId="0" fontId="0" fillId="29" borderId="7" xfId="0" applyFill="1" applyBorder="1" applyAlignment="1">
      <alignment horizontal="center" vertical="center"/>
    </xf>
    <xf numFmtId="0" fontId="14" fillId="29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4" fillId="7" borderId="19" xfId="0" applyFont="1" applyFill="1" applyBorder="1" applyAlignment="1">
      <alignment horizontal="center" vertical="center" wrapText="1"/>
    </xf>
    <xf numFmtId="0" fontId="14" fillId="30" borderId="6" xfId="0" applyFont="1" applyFill="1" applyBorder="1" applyAlignment="1" applyProtection="1">
      <alignment horizontal="center" vertical="center" wrapText="1"/>
      <protection locked="0"/>
    </xf>
    <xf numFmtId="0" fontId="14" fillId="30" borderId="7" xfId="0" applyFont="1" applyFill="1" applyBorder="1" applyAlignment="1" applyProtection="1">
      <alignment horizontal="center" vertical="center" wrapText="1"/>
      <protection locked="0"/>
    </xf>
    <xf numFmtId="0" fontId="14" fillId="30" borderId="7" xfId="0" applyFont="1" applyFill="1" applyBorder="1" applyAlignment="1">
      <alignment horizontal="center" vertical="center" wrapText="1"/>
    </xf>
    <xf numFmtId="0" fontId="0" fillId="30" borderId="7" xfId="0" applyFill="1" applyBorder="1" applyAlignment="1" applyProtection="1">
      <alignment horizontal="center" vertical="center"/>
      <protection locked="0"/>
    </xf>
    <xf numFmtId="0" fontId="14" fillId="0" borderId="6" xfId="0" applyFont="1" applyBorder="1" applyAlignment="1">
      <alignment horizontal="center" vertical="center" wrapText="1"/>
    </xf>
    <xf numFmtId="0" fontId="21" fillId="13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4" fillId="13" borderId="19" xfId="0" applyFont="1" applyFill="1" applyBorder="1" applyAlignment="1">
      <alignment horizontal="center" vertical="center" wrapText="1"/>
    </xf>
    <xf numFmtId="0" fontId="14" fillId="13" borderId="17" xfId="0" applyFont="1" applyFill="1" applyBorder="1" applyAlignment="1">
      <alignment horizontal="center" vertical="center" wrapText="1"/>
    </xf>
    <xf numFmtId="9" fontId="21" fillId="0" borderId="0" xfId="0" applyNumberFormat="1" applyFont="1" applyAlignment="1">
      <alignment horizontal="center" vertical="center" wrapText="1"/>
    </xf>
    <xf numFmtId="0" fontId="21" fillId="0" borderId="7" xfId="0" applyFont="1" applyBorder="1" applyAlignment="1" applyProtection="1">
      <alignment horizontal="center" vertical="center" wrapText="1"/>
      <protection locked="0"/>
    </xf>
    <xf numFmtId="9" fontId="14" fillId="0" borderId="0" xfId="0" applyNumberFormat="1" applyFont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22" fillId="13" borderId="36" xfId="0" applyFont="1" applyFill="1" applyBorder="1" applyAlignment="1">
      <alignment horizontal="center" vertical="center"/>
    </xf>
    <xf numFmtId="0" fontId="21" fillId="30" borderId="7" xfId="0" applyFont="1" applyFill="1" applyBorder="1" applyAlignment="1" applyProtection="1">
      <alignment horizontal="center" vertical="center" wrapText="1"/>
      <protection locked="0"/>
    </xf>
    <xf numFmtId="0" fontId="19" fillId="0" borderId="0" xfId="0" applyFont="1" applyAlignment="1">
      <alignment horizontal="center" vertical="center" wrapText="1"/>
    </xf>
    <xf numFmtId="0" fontId="23" fillId="13" borderId="36" xfId="0" applyFont="1" applyFill="1" applyBorder="1" applyAlignment="1">
      <alignment horizontal="center" vertical="center" wrapText="1"/>
    </xf>
    <xf numFmtId="0" fontId="19" fillId="9" borderId="6" xfId="0" applyFont="1" applyFill="1" applyBorder="1" applyAlignment="1">
      <alignment horizontal="center" vertical="center" wrapText="1"/>
    </xf>
    <xf numFmtId="0" fontId="23" fillId="13" borderId="0" xfId="0" applyFont="1" applyFill="1" applyAlignment="1">
      <alignment horizontal="center" vertical="center" wrapText="1"/>
    </xf>
    <xf numFmtId="0" fontId="22" fillId="13" borderId="0" xfId="0" applyFont="1" applyFill="1" applyAlignment="1">
      <alignment horizontal="center" vertical="center"/>
    </xf>
    <xf numFmtId="0" fontId="19" fillId="9" borderId="7" xfId="0" applyFont="1" applyFill="1" applyBorder="1" applyAlignment="1">
      <alignment horizontal="center" vertical="center" wrapText="1"/>
    </xf>
    <xf numFmtId="0" fontId="22" fillId="13" borderId="36" xfId="0" applyFont="1" applyFill="1" applyBorder="1">
      <alignment vertical="center"/>
    </xf>
    <xf numFmtId="0" fontId="10" fillId="9" borderId="7" xfId="0" applyFont="1" applyFill="1" applyBorder="1" applyAlignment="1">
      <alignment horizontal="center" vertical="center"/>
    </xf>
    <xf numFmtId="0" fontId="23" fillId="13" borderId="37" xfId="0" applyFont="1" applyFill="1" applyBorder="1" applyAlignment="1">
      <alignment horizontal="center" vertical="center" wrapText="1"/>
    </xf>
    <xf numFmtId="0" fontId="22" fillId="13" borderId="37" xfId="0" applyFont="1" applyFill="1" applyBorder="1" applyAlignment="1">
      <alignment horizontal="center" vertical="center"/>
    </xf>
    <xf numFmtId="0" fontId="14" fillId="30" borderId="6" xfId="0" applyFont="1" applyFill="1" applyBorder="1" applyAlignment="1">
      <alignment horizontal="center" vertical="center" wrapText="1"/>
    </xf>
    <xf numFmtId="0" fontId="0" fillId="0" borderId="6" xfId="0" applyBorder="1" applyAlignment="1" applyProtection="1">
      <alignment horizontal="center" vertical="center"/>
      <protection locked="0"/>
    </xf>
    <xf numFmtId="0" fontId="24" fillId="0" borderId="0" xfId="0" applyFont="1">
      <alignment vertical="center"/>
    </xf>
    <xf numFmtId="0" fontId="0" fillId="31" borderId="7" xfId="0" applyFill="1" applyBorder="1" applyAlignment="1">
      <alignment horizontal="center" vertical="center"/>
    </xf>
    <xf numFmtId="0" fontId="0" fillId="32" borderId="7" xfId="0" applyFill="1" applyBorder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23" borderId="38" xfId="0" applyFill="1" applyBorder="1" applyAlignment="1">
      <alignment horizontal="center" vertical="center"/>
    </xf>
    <xf numFmtId="0" fontId="0" fillId="19" borderId="24" xfId="0" applyFill="1" applyBorder="1" applyAlignment="1">
      <alignment horizontal="center" vertical="center"/>
    </xf>
    <xf numFmtId="0" fontId="0" fillId="19" borderId="23" xfId="0" applyFill="1" applyBorder="1" applyAlignment="1">
      <alignment horizontal="center" vertical="center"/>
    </xf>
    <xf numFmtId="0" fontId="0" fillId="23" borderId="38" xfId="0" applyFill="1" applyBorder="1" applyAlignment="1">
      <alignment horizontal="center" vertical="center" wrapText="1"/>
    </xf>
    <xf numFmtId="0" fontId="0" fillId="30" borderId="0" xfId="0" applyFill="1" applyAlignment="1">
      <alignment horizontal="center" vertical="center" wrapText="1"/>
    </xf>
    <xf numFmtId="0" fontId="0" fillId="23" borderId="35" xfId="0" applyFill="1" applyBorder="1" applyAlignment="1">
      <alignment horizontal="center" vertical="center"/>
    </xf>
    <xf numFmtId="0" fontId="0" fillId="23" borderId="39" xfId="0" applyFill="1" applyBorder="1" applyAlignment="1">
      <alignment horizontal="center" vertical="center"/>
    </xf>
    <xf numFmtId="0" fontId="0" fillId="26" borderId="0" xfId="0" applyFill="1" applyAlignment="1">
      <alignment horizontal="center" vertical="center" wrapText="1"/>
    </xf>
    <xf numFmtId="0" fontId="0" fillId="23" borderId="19" xfId="0" applyFill="1" applyBorder="1" applyAlignment="1">
      <alignment horizontal="center" vertical="center"/>
    </xf>
    <xf numFmtId="0" fontId="0" fillId="23" borderId="17" xfId="0" applyFill="1" applyBorder="1" applyAlignment="1">
      <alignment horizontal="center" vertical="center"/>
    </xf>
    <xf numFmtId="0" fontId="0" fillId="23" borderId="34" xfId="0" applyFill="1" applyBorder="1" applyAlignment="1">
      <alignment horizontal="center" vertical="center"/>
    </xf>
    <xf numFmtId="0" fontId="0" fillId="23" borderId="40" xfId="0" applyFill="1" applyBorder="1" applyAlignment="1">
      <alignment horizontal="center" vertical="center"/>
    </xf>
    <xf numFmtId="0" fontId="0" fillId="30" borderId="0" xfId="0" applyFill="1">
      <alignment vertical="center"/>
    </xf>
    <xf numFmtId="0" fontId="25" fillId="23" borderId="35" xfId="0" applyFont="1" applyFill="1" applyBorder="1" applyAlignment="1">
      <alignment horizontal="center" vertical="top" wrapText="1"/>
    </xf>
    <xf numFmtId="0" fontId="25" fillId="23" borderId="19" xfId="0" applyFont="1" applyFill="1" applyBorder="1" applyAlignment="1">
      <alignment horizontal="center" vertical="top" wrapText="1"/>
    </xf>
    <xf numFmtId="0" fontId="25" fillId="23" borderId="34" xfId="0" applyFont="1" applyFill="1" applyBorder="1" applyAlignment="1">
      <alignment horizontal="center" vertical="top" wrapText="1"/>
    </xf>
    <xf numFmtId="0" fontId="0" fillId="19" borderId="8" xfId="0" applyFill="1" applyBorder="1" applyAlignment="1">
      <alignment horizontal="center" vertical="center"/>
    </xf>
    <xf numFmtId="0" fontId="25" fillId="23" borderId="41" xfId="0" applyFont="1" applyFill="1" applyBorder="1" applyAlignment="1">
      <alignment horizontal="center" vertical="top" wrapText="1"/>
    </xf>
    <xf numFmtId="0" fontId="0" fillId="23" borderId="42" xfId="0" applyFill="1" applyBorder="1" applyAlignment="1">
      <alignment horizontal="center" vertical="center"/>
    </xf>
    <xf numFmtId="0" fontId="26" fillId="0" borderId="0" xfId="0" applyFont="1" applyAlignment="1">
      <alignment vertical="center" wrapText="1"/>
    </xf>
    <xf numFmtId="0" fontId="25" fillId="19" borderId="8" xfId="0" applyFont="1" applyFill="1" applyBorder="1" applyAlignment="1">
      <alignment horizontal="center" vertical="top" wrapText="1"/>
    </xf>
    <xf numFmtId="0" fontId="14" fillId="7" borderId="17" xfId="0" applyFont="1" applyFill="1" applyBorder="1" applyAlignment="1">
      <alignment horizontal="center" vertical="center" wrapText="1"/>
    </xf>
    <xf numFmtId="0" fontId="14" fillId="7" borderId="8" xfId="0" applyFont="1" applyFill="1" applyBorder="1" applyAlignment="1">
      <alignment horizontal="center" vertical="center" wrapText="1"/>
    </xf>
    <xf numFmtId="0" fontId="14" fillId="7" borderId="40" xfId="0" applyFont="1" applyFill="1" applyBorder="1" applyAlignment="1">
      <alignment horizontal="center" vertical="center" wrapText="1"/>
    </xf>
    <xf numFmtId="0" fontId="14" fillId="33" borderId="7" xfId="0" applyFont="1" applyFill="1" applyBorder="1" applyAlignment="1">
      <alignment horizontal="center" vertical="center" wrapText="1"/>
    </xf>
    <xf numFmtId="0" fontId="0" fillId="33" borderId="7" xfId="0" applyFill="1" applyBorder="1">
      <alignment vertical="center"/>
    </xf>
    <xf numFmtId="0" fontId="27" fillId="34" borderId="43" xfId="0" applyFont="1" applyFill="1" applyBorder="1" applyAlignment="1">
      <alignment horizontal="center" vertical="center" wrapText="1"/>
    </xf>
    <xf numFmtId="0" fontId="27" fillId="34" borderId="44" xfId="0" applyFont="1" applyFill="1" applyBorder="1" applyAlignment="1">
      <alignment horizontal="center" vertical="center" wrapText="1"/>
    </xf>
    <xf numFmtId="0" fontId="27" fillId="34" borderId="46" xfId="0" applyFont="1" applyFill="1" applyBorder="1" applyAlignment="1">
      <alignment horizontal="center" vertical="center" wrapText="1"/>
    </xf>
    <xf numFmtId="178" fontId="27" fillId="34" borderId="47" xfId="0" applyNumberFormat="1" applyFont="1" applyFill="1" applyBorder="1" applyAlignment="1">
      <alignment horizontal="center" vertical="center" wrapText="1"/>
    </xf>
    <xf numFmtId="178" fontId="27" fillId="34" borderId="48" xfId="0" applyNumberFormat="1" applyFont="1" applyFill="1" applyBorder="1" applyAlignment="1">
      <alignment horizontal="center" vertical="center" wrapText="1"/>
    </xf>
    <xf numFmtId="178" fontId="27" fillId="34" borderId="49" xfId="0" applyNumberFormat="1" applyFont="1" applyFill="1" applyBorder="1" applyAlignment="1">
      <alignment horizontal="center" vertical="center" wrapText="1"/>
    </xf>
    <xf numFmtId="178" fontId="27" fillId="34" borderId="50" xfId="0" applyNumberFormat="1" applyFont="1" applyFill="1" applyBorder="1" applyAlignment="1">
      <alignment horizontal="center" vertical="center" wrapText="1"/>
    </xf>
    <xf numFmtId="178" fontId="28" fillId="5" borderId="52" xfId="0" applyNumberFormat="1" applyFont="1" applyFill="1" applyBorder="1" applyAlignment="1">
      <alignment horizontal="center" vertical="center" wrapText="1"/>
    </xf>
    <xf numFmtId="178" fontId="28" fillId="0" borderId="53" xfId="0" applyNumberFormat="1" applyFont="1" applyBorder="1" applyAlignment="1" applyProtection="1">
      <alignment horizontal="center" vertical="center" wrapText="1"/>
      <protection locked="0"/>
    </xf>
    <xf numFmtId="178" fontId="28" fillId="0" borderId="54" xfId="0" applyNumberFormat="1" applyFont="1" applyBorder="1" applyAlignment="1" applyProtection="1">
      <alignment horizontal="center" vertical="center" wrapText="1"/>
      <protection locked="0"/>
    </xf>
    <xf numFmtId="178" fontId="28" fillId="0" borderId="52" xfId="0" applyNumberFormat="1" applyFont="1" applyBorder="1" applyAlignment="1" applyProtection="1">
      <alignment horizontal="center" vertical="center" wrapText="1"/>
      <protection locked="0"/>
    </xf>
    <xf numFmtId="178" fontId="28" fillId="0" borderId="55" xfId="0" applyNumberFormat="1" applyFont="1" applyBorder="1" applyAlignment="1" applyProtection="1">
      <alignment horizontal="center" vertical="center" wrapText="1"/>
      <protection locked="0"/>
    </xf>
    <xf numFmtId="178" fontId="28" fillId="0" borderId="56" xfId="0" applyNumberFormat="1" applyFont="1" applyBorder="1" applyAlignment="1" applyProtection="1">
      <alignment horizontal="center" vertical="center" wrapText="1"/>
      <protection locked="0"/>
    </xf>
    <xf numFmtId="178" fontId="28" fillId="0" borderId="57" xfId="0" applyNumberFormat="1" applyFont="1" applyBorder="1" applyAlignment="1" applyProtection="1">
      <alignment horizontal="center" vertical="center" wrapText="1"/>
      <protection locked="0"/>
    </xf>
    <xf numFmtId="178" fontId="28" fillId="5" borderId="59" xfId="0" applyNumberFormat="1" applyFont="1" applyFill="1" applyBorder="1" applyAlignment="1">
      <alignment horizontal="center" vertical="center" wrapText="1"/>
    </xf>
    <xf numFmtId="178" fontId="28" fillId="0" borderId="60" xfId="0" applyNumberFormat="1" applyFont="1" applyBorder="1" applyAlignment="1" applyProtection="1">
      <alignment horizontal="center" vertical="center" wrapText="1"/>
      <protection locked="0"/>
    </xf>
    <xf numFmtId="178" fontId="28" fillId="0" borderId="61" xfId="0" applyNumberFormat="1" applyFont="1" applyBorder="1" applyAlignment="1" applyProtection="1">
      <alignment horizontal="center" vertical="center" wrapText="1"/>
      <protection locked="0"/>
    </xf>
    <xf numFmtId="178" fontId="28" fillId="0" borderId="59" xfId="0" applyNumberFormat="1" applyFont="1" applyBorder="1" applyAlignment="1" applyProtection="1">
      <alignment horizontal="center" vertical="center" wrapText="1"/>
      <protection locked="0"/>
    </xf>
    <xf numFmtId="178" fontId="28" fillId="0" borderId="62" xfId="0" applyNumberFormat="1" applyFont="1" applyBorder="1" applyAlignment="1" applyProtection="1">
      <alignment horizontal="center" vertical="center" wrapText="1"/>
      <protection locked="0"/>
    </xf>
    <xf numFmtId="178" fontId="28" fillId="0" borderId="63" xfId="0" applyNumberFormat="1" applyFont="1" applyBorder="1" applyAlignment="1" applyProtection="1">
      <alignment horizontal="center" vertical="center" wrapText="1"/>
      <protection locked="0"/>
    </xf>
    <xf numFmtId="178" fontId="28" fillId="0" borderId="64" xfId="0" applyNumberFormat="1" applyFont="1" applyBorder="1" applyAlignment="1" applyProtection="1">
      <alignment horizontal="center" vertical="center" wrapText="1"/>
      <protection locked="0"/>
    </xf>
    <xf numFmtId="12" fontId="28" fillId="0" borderId="61" xfId="0" applyNumberFormat="1" applyFont="1" applyBorder="1" applyAlignment="1" applyProtection="1">
      <alignment horizontal="center" vertical="center" wrapText="1"/>
      <protection locked="0"/>
    </xf>
    <xf numFmtId="178" fontId="28" fillId="5" borderId="66" xfId="0" applyNumberFormat="1" applyFont="1" applyFill="1" applyBorder="1" applyAlignment="1">
      <alignment horizontal="center" vertical="center" wrapText="1"/>
    </xf>
    <xf numFmtId="178" fontId="28" fillId="0" borderId="67" xfId="0" applyNumberFormat="1" applyFont="1" applyBorder="1" applyAlignment="1" applyProtection="1">
      <alignment horizontal="center" vertical="center" wrapText="1"/>
      <protection locked="0"/>
    </xf>
    <xf numFmtId="178" fontId="28" fillId="0" borderId="68" xfId="0" applyNumberFormat="1" applyFont="1" applyBorder="1" applyAlignment="1" applyProtection="1">
      <alignment horizontal="center" vertical="center" wrapText="1"/>
      <protection locked="0"/>
    </xf>
    <xf numFmtId="178" fontId="28" fillId="0" borderId="66" xfId="0" applyNumberFormat="1" applyFont="1" applyBorder="1" applyAlignment="1" applyProtection="1">
      <alignment horizontal="center" vertical="center" wrapText="1"/>
      <protection locked="0"/>
    </xf>
    <xf numFmtId="178" fontId="28" fillId="0" borderId="69" xfId="0" applyNumberFormat="1" applyFont="1" applyBorder="1" applyAlignment="1" applyProtection="1">
      <alignment horizontal="center" vertical="center" wrapText="1"/>
      <protection locked="0"/>
    </xf>
    <xf numFmtId="178" fontId="28" fillId="0" borderId="70" xfId="0" applyNumberFormat="1" applyFont="1" applyBorder="1" applyAlignment="1" applyProtection="1">
      <alignment horizontal="center" vertical="center" wrapText="1"/>
      <protection locked="0"/>
    </xf>
    <xf numFmtId="178" fontId="21" fillId="35" borderId="53" xfId="0" applyNumberFormat="1" applyFont="1" applyFill="1" applyBorder="1" applyAlignment="1" applyProtection="1">
      <alignment horizontal="center" vertical="center" wrapText="1"/>
      <protection locked="0"/>
    </xf>
    <xf numFmtId="178" fontId="21" fillId="35" borderId="54" xfId="0" applyNumberFormat="1" applyFont="1" applyFill="1" applyBorder="1" applyAlignment="1" applyProtection="1">
      <alignment horizontal="center" vertical="center" wrapText="1"/>
      <protection locked="0"/>
    </xf>
    <xf numFmtId="178" fontId="21" fillId="35" borderId="52" xfId="0" applyNumberFormat="1" applyFont="1" applyFill="1" applyBorder="1" applyAlignment="1" applyProtection="1">
      <alignment horizontal="center" vertical="center" wrapText="1"/>
      <protection locked="0"/>
    </xf>
    <xf numFmtId="178" fontId="21" fillId="5" borderId="52" xfId="0" applyNumberFormat="1" applyFont="1" applyFill="1" applyBorder="1" applyAlignment="1" applyProtection="1">
      <alignment horizontal="center" vertical="center" wrapText="1"/>
      <protection locked="0"/>
    </xf>
    <xf numFmtId="178" fontId="21" fillId="5" borderId="55" xfId="0" applyNumberFormat="1" applyFont="1" applyFill="1" applyBorder="1" applyAlignment="1" applyProtection="1">
      <alignment horizontal="center" vertical="center" wrapText="1"/>
      <protection locked="0"/>
    </xf>
    <xf numFmtId="178" fontId="21" fillId="35" borderId="56" xfId="0" applyNumberFormat="1" applyFont="1" applyFill="1" applyBorder="1" applyAlignment="1" applyProtection="1">
      <alignment horizontal="center" vertical="center" wrapText="1"/>
      <protection locked="0"/>
    </xf>
    <xf numFmtId="178" fontId="21" fillId="5" borderId="71" xfId="0" applyNumberFormat="1" applyFont="1" applyFill="1" applyBorder="1" applyAlignment="1" applyProtection="1">
      <alignment horizontal="center" vertical="center" wrapText="1"/>
      <protection locked="0"/>
    </xf>
    <xf numFmtId="178" fontId="21" fillId="35" borderId="60" xfId="0" applyNumberFormat="1" applyFont="1" applyFill="1" applyBorder="1" applyAlignment="1" applyProtection="1">
      <alignment horizontal="center" vertical="center" wrapText="1"/>
      <protection locked="0"/>
    </xf>
    <xf numFmtId="178" fontId="21" fillId="35" borderId="61" xfId="0" applyNumberFormat="1" applyFont="1" applyFill="1" applyBorder="1" applyAlignment="1" applyProtection="1">
      <alignment horizontal="center" vertical="center" wrapText="1"/>
      <protection locked="0"/>
    </xf>
    <xf numFmtId="178" fontId="21" fillId="35" borderId="59" xfId="0" applyNumberFormat="1" applyFont="1" applyFill="1" applyBorder="1" applyAlignment="1" applyProtection="1">
      <alignment horizontal="center" vertical="center" wrapText="1"/>
      <protection locked="0"/>
    </xf>
    <xf numFmtId="178" fontId="21" fillId="5" borderId="59" xfId="0" applyNumberFormat="1" applyFont="1" applyFill="1" applyBorder="1" applyAlignment="1" applyProtection="1">
      <alignment horizontal="center" vertical="center" wrapText="1"/>
      <protection locked="0"/>
    </xf>
    <xf numFmtId="178" fontId="21" fillId="5" borderId="62" xfId="0" applyNumberFormat="1" applyFont="1" applyFill="1" applyBorder="1" applyAlignment="1" applyProtection="1">
      <alignment horizontal="center" vertical="center" wrapText="1"/>
      <protection locked="0"/>
    </xf>
    <xf numFmtId="178" fontId="21" fillId="35" borderId="63" xfId="0" applyNumberFormat="1" applyFont="1" applyFill="1" applyBorder="1" applyAlignment="1" applyProtection="1">
      <alignment horizontal="center" vertical="center" wrapText="1"/>
      <protection locked="0"/>
    </xf>
    <xf numFmtId="178" fontId="21" fillId="5" borderId="72" xfId="0" applyNumberFormat="1" applyFont="1" applyFill="1" applyBorder="1" applyAlignment="1" applyProtection="1">
      <alignment horizontal="center" vertical="center" wrapText="1"/>
      <protection locked="0"/>
    </xf>
    <xf numFmtId="178" fontId="28" fillId="5" borderId="74" xfId="0" applyNumberFormat="1" applyFont="1" applyFill="1" applyBorder="1" applyAlignment="1">
      <alignment horizontal="center" vertical="center" wrapText="1"/>
    </xf>
    <xf numFmtId="178" fontId="21" fillId="35" borderId="75" xfId="0" applyNumberFormat="1" applyFont="1" applyFill="1" applyBorder="1" applyAlignment="1" applyProtection="1">
      <alignment horizontal="center" vertical="center" wrapText="1"/>
      <protection locked="0"/>
    </xf>
    <xf numFmtId="178" fontId="21" fillId="35" borderId="76" xfId="0" applyNumberFormat="1" applyFont="1" applyFill="1" applyBorder="1" applyAlignment="1" applyProtection="1">
      <alignment horizontal="center" vertical="center" wrapText="1"/>
      <protection locked="0"/>
    </xf>
    <xf numFmtId="178" fontId="21" fillId="35" borderId="74" xfId="0" applyNumberFormat="1" applyFont="1" applyFill="1" applyBorder="1" applyAlignment="1" applyProtection="1">
      <alignment horizontal="center" vertical="center" wrapText="1"/>
      <protection locked="0"/>
    </xf>
    <xf numFmtId="178" fontId="21" fillId="5" borderId="74" xfId="0" applyNumberFormat="1" applyFont="1" applyFill="1" applyBorder="1" applyAlignment="1" applyProtection="1">
      <alignment horizontal="center" vertical="center" wrapText="1"/>
      <protection locked="0"/>
    </xf>
    <xf numFmtId="178" fontId="21" fillId="5" borderId="77" xfId="0" applyNumberFormat="1" applyFont="1" applyFill="1" applyBorder="1" applyAlignment="1" applyProtection="1">
      <alignment horizontal="center" vertical="center" wrapText="1"/>
      <protection locked="0"/>
    </xf>
    <xf numFmtId="178" fontId="21" fillId="35" borderId="78" xfId="0" applyNumberFormat="1" applyFont="1" applyFill="1" applyBorder="1" applyAlignment="1" applyProtection="1">
      <alignment horizontal="center" vertical="center" wrapText="1"/>
      <protection locked="0"/>
    </xf>
    <xf numFmtId="178" fontId="21" fillId="5" borderId="79" xfId="0" applyNumberFormat="1" applyFont="1" applyFill="1" applyBorder="1" applyAlignment="1" applyProtection="1">
      <alignment horizontal="center" vertical="center" wrapText="1"/>
      <protection locked="0"/>
    </xf>
    <xf numFmtId="0" fontId="28" fillId="13" borderId="53" xfId="0" applyFont="1" applyFill="1" applyBorder="1" applyAlignment="1">
      <alignment horizontal="center" vertical="center" wrapText="1"/>
    </xf>
    <xf numFmtId="0" fontId="28" fillId="13" borderId="54" xfId="0" applyFont="1" applyFill="1" applyBorder="1" applyAlignment="1">
      <alignment horizontal="center" vertical="center" wrapText="1"/>
    </xf>
    <xf numFmtId="178" fontId="28" fillId="13" borderId="54" xfId="0" applyNumberFormat="1" applyFont="1" applyFill="1" applyBorder="1" applyAlignment="1">
      <alignment horizontal="center" vertical="center" wrapText="1"/>
    </xf>
    <xf numFmtId="0" fontId="28" fillId="13" borderId="52" xfId="0" applyFont="1" applyFill="1" applyBorder="1" applyAlignment="1">
      <alignment horizontal="center" vertical="center" wrapText="1"/>
    </xf>
    <xf numFmtId="0" fontId="28" fillId="13" borderId="55" xfId="0" applyFont="1" applyFill="1" applyBorder="1" applyAlignment="1">
      <alignment horizontal="center" vertical="center" wrapText="1"/>
    </xf>
    <xf numFmtId="0" fontId="28" fillId="13" borderId="56" xfId="0" applyFont="1" applyFill="1" applyBorder="1" applyAlignment="1">
      <alignment horizontal="center" vertical="center" wrapText="1"/>
    </xf>
    <xf numFmtId="178" fontId="21" fillId="13" borderId="71" xfId="0" applyNumberFormat="1" applyFont="1" applyFill="1" applyBorder="1" applyAlignment="1" applyProtection="1">
      <alignment horizontal="center" vertical="center" wrapText="1"/>
      <protection locked="0"/>
    </xf>
    <xf numFmtId="0" fontId="28" fillId="13" borderId="60" xfId="0" applyFont="1" applyFill="1" applyBorder="1" applyAlignment="1">
      <alignment horizontal="center" vertical="center" wrapText="1"/>
    </xf>
    <xf numFmtId="0" fontId="28" fillId="13" borderId="61" xfId="0" applyFont="1" applyFill="1" applyBorder="1" applyAlignment="1">
      <alignment horizontal="center" vertical="center" wrapText="1"/>
    </xf>
    <xf numFmtId="0" fontId="28" fillId="13" borderId="59" xfId="0" applyFont="1" applyFill="1" applyBorder="1" applyAlignment="1">
      <alignment horizontal="center" vertical="center" wrapText="1"/>
    </xf>
    <xf numFmtId="0" fontId="28" fillId="13" borderId="62" xfId="0" applyFont="1" applyFill="1" applyBorder="1" applyAlignment="1">
      <alignment horizontal="center" vertical="center" wrapText="1"/>
    </xf>
    <xf numFmtId="0" fontId="28" fillId="13" borderId="63" xfId="0" applyFont="1" applyFill="1" applyBorder="1" applyAlignment="1">
      <alignment horizontal="center" vertical="center" wrapText="1"/>
    </xf>
    <xf numFmtId="178" fontId="21" fillId="13" borderId="72" xfId="0" applyNumberFormat="1" applyFont="1" applyFill="1" applyBorder="1" applyAlignment="1" applyProtection="1">
      <alignment horizontal="center" vertical="center" wrapText="1"/>
      <protection locked="0"/>
    </xf>
    <xf numFmtId="0" fontId="28" fillId="13" borderId="75" xfId="0" applyFont="1" applyFill="1" applyBorder="1" applyAlignment="1">
      <alignment horizontal="center" vertical="center" wrapText="1"/>
    </xf>
    <xf numFmtId="0" fontId="28" fillId="13" borderId="76" xfId="0" applyFont="1" applyFill="1" applyBorder="1" applyAlignment="1">
      <alignment horizontal="center" vertical="center" wrapText="1"/>
    </xf>
    <xf numFmtId="0" fontId="28" fillId="13" borderId="74" xfId="0" applyFont="1" applyFill="1" applyBorder="1" applyAlignment="1">
      <alignment horizontal="center" vertical="center" wrapText="1"/>
    </xf>
    <xf numFmtId="0" fontId="28" fillId="13" borderId="77" xfId="0" applyFont="1" applyFill="1" applyBorder="1" applyAlignment="1">
      <alignment horizontal="center" vertical="center" wrapText="1"/>
    </xf>
    <xf numFmtId="0" fontId="28" fillId="13" borderId="78" xfId="0" applyFont="1" applyFill="1" applyBorder="1" applyAlignment="1">
      <alignment horizontal="center" vertical="center" wrapText="1"/>
    </xf>
    <xf numFmtId="178" fontId="21" fillId="13" borderId="79" xfId="0" applyNumberFormat="1" applyFont="1" applyFill="1" applyBorder="1" applyAlignment="1" applyProtection="1">
      <alignment horizontal="center" vertical="center" wrapText="1"/>
      <protection locked="0"/>
    </xf>
    <xf numFmtId="0" fontId="28" fillId="13" borderId="82" xfId="0" applyFont="1" applyFill="1" applyBorder="1" applyAlignment="1">
      <alignment horizontal="center" vertical="center" wrapText="1"/>
    </xf>
    <xf numFmtId="0" fontId="28" fillId="13" borderId="83" xfId="0" applyFont="1" applyFill="1" applyBorder="1" applyAlignment="1">
      <alignment horizontal="center" vertical="center" wrapText="1"/>
    </xf>
    <xf numFmtId="0" fontId="28" fillId="13" borderId="81" xfId="0" applyFont="1" applyFill="1" applyBorder="1" applyAlignment="1">
      <alignment horizontal="center" vertical="center" wrapText="1"/>
    </xf>
    <xf numFmtId="0" fontId="28" fillId="13" borderId="37" xfId="0" applyFont="1" applyFill="1" applyBorder="1" applyAlignment="1">
      <alignment horizontal="center" vertical="center" wrapText="1"/>
    </xf>
    <xf numFmtId="0" fontId="28" fillId="13" borderId="84" xfId="0" applyFont="1" applyFill="1" applyBorder="1" applyAlignment="1">
      <alignment horizontal="center" vertical="center" wrapText="1"/>
    </xf>
    <xf numFmtId="178" fontId="28" fillId="13" borderId="85" xfId="0" applyNumberFormat="1" applyFont="1" applyFill="1" applyBorder="1" applyAlignment="1" applyProtection="1">
      <alignment horizontal="center" vertical="center" wrapText="1"/>
      <protection locked="0"/>
    </xf>
    <xf numFmtId="178" fontId="28" fillId="5" borderId="62" xfId="0" applyNumberFormat="1" applyFont="1" applyFill="1" applyBorder="1" applyAlignment="1" applyProtection="1">
      <alignment horizontal="center" vertical="center" wrapText="1"/>
      <protection locked="0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 applyProtection="1">
      <alignment horizontal="center" vertical="center"/>
      <protection locked="0"/>
    </xf>
    <xf numFmtId="0" fontId="0" fillId="36" borderId="7" xfId="0" applyFill="1" applyBorder="1" applyAlignment="1">
      <alignment horizontal="center" vertical="center"/>
    </xf>
    <xf numFmtId="0" fontId="0" fillId="37" borderId="7" xfId="0" applyFill="1" applyBorder="1" applyAlignment="1" applyProtection="1">
      <alignment horizontal="center" vertical="center"/>
      <protection locked="0"/>
    </xf>
    <xf numFmtId="9" fontId="0" fillId="37" borderId="7" xfId="0" applyNumberFormat="1" applyFill="1" applyBorder="1" applyAlignment="1" applyProtection="1">
      <alignment horizontal="center" vertical="center"/>
      <protection locked="0"/>
    </xf>
    <xf numFmtId="0" fontId="0" fillId="38" borderId="7" xfId="0" applyFill="1" applyBorder="1" applyAlignment="1">
      <alignment horizontal="center" vertical="center"/>
    </xf>
    <xf numFmtId="0" fontId="15" fillId="39" borderId="7" xfId="0" applyFont="1" applyFill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0" fillId="13" borderId="7" xfId="0" applyFill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0" fillId="13" borderId="7" xfId="0" applyFill="1" applyBorder="1">
      <alignment vertical="center"/>
    </xf>
    <xf numFmtId="0" fontId="0" fillId="18" borderId="7" xfId="0" applyFill="1" applyBorder="1" applyAlignment="1">
      <alignment horizontal="center" vertical="center"/>
    </xf>
    <xf numFmtId="0" fontId="15" fillId="13" borderId="7" xfId="0" applyFont="1" applyFill="1" applyBorder="1" applyAlignment="1">
      <alignment horizontal="center" vertical="center" wrapText="1"/>
    </xf>
    <xf numFmtId="0" fontId="0" fillId="13" borderId="0" xfId="0" applyFill="1">
      <alignment vertical="center"/>
    </xf>
    <xf numFmtId="0" fontId="15" fillId="40" borderId="7" xfId="0" applyFont="1" applyFill="1" applyBorder="1" applyAlignment="1">
      <alignment horizontal="center" vertical="center" wrapText="1"/>
    </xf>
    <xf numFmtId="0" fontId="0" fillId="41" borderId="0" xfId="0" applyFill="1">
      <alignment vertical="center"/>
    </xf>
    <xf numFmtId="0" fontId="15" fillId="18" borderId="7" xfId="0" applyFont="1" applyFill="1" applyBorder="1" applyAlignment="1">
      <alignment horizontal="center" vertical="top" wrapText="1"/>
    </xf>
    <xf numFmtId="0" fontId="0" fillId="18" borderId="7" xfId="0" applyFill="1" applyBorder="1" applyAlignment="1">
      <alignment horizontal="center" vertical="top"/>
    </xf>
    <xf numFmtId="0" fontId="0" fillId="7" borderId="7" xfId="0" applyFill="1" applyBorder="1">
      <alignment vertical="center"/>
    </xf>
    <xf numFmtId="0" fontId="0" fillId="7" borderId="7" xfId="0" applyFill="1" applyBorder="1" applyAlignment="1">
      <alignment horizontal="center" vertical="top"/>
    </xf>
    <xf numFmtId="0" fontId="29" fillId="7" borderId="7" xfId="0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top" wrapText="1"/>
    </xf>
    <xf numFmtId="0" fontId="0" fillId="0" borderId="0" xfId="0" pivotButton="1">
      <alignment vertical="center"/>
    </xf>
    <xf numFmtId="0" fontId="14" fillId="13" borderId="8" xfId="0" applyFont="1" applyFill="1" applyBorder="1" applyAlignment="1">
      <alignment horizontal="center" vertical="center" wrapText="1"/>
    </xf>
    <xf numFmtId="0" fontId="14" fillId="13" borderId="10" xfId="0" applyFont="1" applyFill="1" applyBorder="1" applyAlignment="1">
      <alignment horizontal="center" vertical="center" wrapText="1"/>
    </xf>
    <xf numFmtId="0" fontId="0" fillId="9" borderId="86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27" fillId="34" borderId="44" xfId="0" applyFont="1" applyFill="1" applyBorder="1" applyAlignment="1">
      <alignment horizontal="center" vertical="center" wrapText="1"/>
    </xf>
    <xf numFmtId="0" fontId="27" fillId="34" borderId="45" xfId="0" applyFont="1" applyFill="1" applyBorder="1" applyAlignment="1">
      <alignment horizontal="center" vertical="center" wrapText="1"/>
    </xf>
    <xf numFmtId="0" fontId="28" fillId="35" borderId="80" xfId="0" applyFont="1" applyFill="1" applyBorder="1" applyAlignment="1">
      <alignment horizontal="center" vertical="center" wrapText="1"/>
    </xf>
    <xf numFmtId="0" fontId="28" fillId="5" borderId="81" xfId="0" applyFont="1" applyFill="1" applyBorder="1" applyAlignment="1">
      <alignment horizontal="center" vertical="center" wrapText="1"/>
    </xf>
    <xf numFmtId="178" fontId="28" fillId="35" borderId="51" xfId="0" applyNumberFormat="1" applyFont="1" applyFill="1" applyBorder="1" applyAlignment="1">
      <alignment horizontal="center" vertical="center" wrapText="1"/>
    </xf>
    <xf numFmtId="178" fontId="28" fillId="35" borderId="58" xfId="0" applyNumberFormat="1" applyFont="1" applyFill="1" applyBorder="1" applyAlignment="1">
      <alignment horizontal="center" vertical="center" wrapText="1"/>
    </xf>
    <xf numFmtId="178" fontId="28" fillId="35" borderId="65" xfId="0" applyNumberFormat="1" applyFont="1" applyFill="1" applyBorder="1" applyAlignment="1">
      <alignment horizontal="center" vertical="center" wrapText="1"/>
    </xf>
    <xf numFmtId="0" fontId="28" fillId="35" borderId="51" xfId="0" applyFont="1" applyFill="1" applyBorder="1" applyAlignment="1">
      <alignment horizontal="center" vertical="center" wrapText="1"/>
    </xf>
    <xf numFmtId="0" fontId="28" fillId="35" borderId="58" xfId="0" applyFont="1" applyFill="1" applyBorder="1" applyAlignment="1">
      <alignment horizontal="center" vertical="center" wrapText="1"/>
    </xf>
    <xf numFmtId="0" fontId="28" fillId="35" borderId="73" xfId="0" applyFont="1" applyFill="1" applyBorder="1" applyAlignment="1">
      <alignment horizontal="center" vertical="center" wrapText="1"/>
    </xf>
    <xf numFmtId="0" fontId="0" fillId="9" borderId="17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 wrapText="1"/>
    </xf>
    <xf numFmtId="0" fontId="14" fillId="9" borderId="17" xfId="0" applyFont="1" applyFill="1" applyBorder="1" applyAlignment="1">
      <alignment horizontal="center" vertical="center" wrapText="1"/>
    </xf>
    <xf numFmtId="0" fontId="14" fillId="9" borderId="18" xfId="0" applyFont="1" applyFill="1" applyBorder="1" applyAlignment="1">
      <alignment horizontal="center" vertical="center" wrapText="1"/>
    </xf>
    <xf numFmtId="0" fontId="14" fillId="9" borderId="19" xfId="0" applyFont="1" applyFill="1" applyBorder="1" applyAlignment="1">
      <alignment horizontal="center" vertical="center" wrapText="1"/>
    </xf>
    <xf numFmtId="0" fontId="14" fillId="9" borderId="7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14" fillId="13" borderId="7" xfId="0" applyFont="1" applyFill="1" applyBorder="1" applyAlignment="1">
      <alignment horizontal="center" vertical="center" wrapText="1"/>
    </xf>
    <xf numFmtId="0" fontId="14" fillId="13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2" borderId="7" xfId="0" applyFill="1" applyBorder="1" applyAlignment="1">
      <alignment horizontal="center" vertical="center"/>
    </xf>
    <xf numFmtId="0" fontId="14" fillId="13" borderId="34" xfId="0" applyFont="1" applyFill="1" applyBorder="1" applyAlignment="1">
      <alignment horizontal="center" vertical="center" wrapText="1"/>
    </xf>
    <xf numFmtId="0" fontId="14" fillId="13" borderId="3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19" fillId="0" borderId="31" xfId="0" applyFont="1" applyBorder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32" xfId="0" applyFont="1" applyBorder="1" applyAlignment="1" applyProtection="1">
      <alignment horizontal="center" vertical="center" wrapText="1"/>
      <protection locked="0"/>
    </xf>
    <xf numFmtId="0" fontId="14" fillId="7" borderId="17" xfId="0" applyFont="1" applyFill="1" applyBorder="1" applyAlignment="1">
      <alignment horizontal="center" vertical="center" wrapText="1"/>
    </xf>
    <xf numFmtId="0" fontId="14" fillId="7" borderId="18" xfId="0" applyFont="1" applyFill="1" applyBorder="1" applyAlignment="1">
      <alignment horizontal="center" vertical="center" wrapText="1"/>
    </xf>
    <xf numFmtId="0" fontId="19" fillId="0" borderId="33" xfId="0" applyFont="1" applyBorder="1" applyAlignment="1" applyProtection="1">
      <alignment horizontal="center" vertical="center" wrapText="1"/>
      <protection locked="0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3" borderId="0" xfId="0" applyFill="1" applyAlignment="1">
      <alignment horizontal="center"/>
    </xf>
    <xf numFmtId="0" fontId="16" fillId="2" borderId="7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0" fillId="15" borderId="7" xfId="0" applyFill="1" applyBorder="1" applyAlignment="1">
      <alignment horizontal="center" vertical="center"/>
    </xf>
    <xf numFmtId="0" fontId="14" fillId="11" borderId="8" xfId="0" applyFont="1" applyFill="1" applyBorder="1" applyAlignment="1">
      <alignment horizontal="center" vertical="center" wrapText="1"/>
    </xf>
    <xf numFmtId="0" fontId="14" fillId="11" borderId="9" xfId="0" applyFont="1" applyFill="1" applyBorder="1" applyAlignment="1">
      <alignment horizontal="center" vertical="center" wrapText="1"/>
    </xf>
    <xf numFmtId="0" fontId="14" fillId="11" borderId="10" xfId="0" applyFont="1" applyFill="1" applyBorder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常规" xfId="0" builtinId="0"/>
  </cellStyles>
  <dxfs count="27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7030A0"/>
        </patternFill>
      </fill>
    </dxf>
    <dxf>
      <font>
        <color rgb="FFFFFF00"/>
      </font>
      <fill>
        <patternFill patternType="solid">
          <bgColor rgb="FF7030A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0" formatCode="General"/>
    </dxf>
    <dxf>
      <numFmt numFmtId="0" formatCode="General"/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/>
        <u val="none"/>
        <color theme="4"/>
      </font>
      <fill>
        <patternFill patternType="solid">
          <bgColor theme="0" tint="-9.9978637043366805E-2"/>
        </patternFill>
      </fill>
    </dxf>
    <dxf>
      <font>
        <b/>
        <u val="none"/>
        <color theme="4"/>
      </font>
      <fill>
        <patternFill patternType="solid">
          <bgColor theme="0" tint="-9.9978637043366805E-2"/>
        </patternFill>
      </fill>
    </dxf>
    <dxf>
      <font>
        <b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/>
        <vertical/>
        <horizontal/>
      </border>
    </dxf>
    <dxf>
      <font>
        <b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n">
          <color theme="4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ck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 style="thin">
          <color theme="4" tint="0.59999389629810485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59999389629810485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59999389629810485"/>
        </left>
        <right style="thin">
          <color theme="4"/>
        </right>
        <top style="thin">
          <color theme="4"/>
        </top>
        <bottom style="thin">
          <color theme="4" tint="0.59999389629810485"/>
        </bottom>
        <vertical/>
        <horizontal/>
      </border>
    </dxf>
    <dxf>
      <border>
        <left style="thin">
          <color theme="4" tint="0.59999389629810485"/>
        </left>
        <right style="thin">
          <color theme="4" tint="0.59999389629810485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ill>
        <patternFill patternType="solid">
          <bgColor theme="4" tint="0.89999084444715716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fill>
        <patternFill patternType="solid">
          <bgColor theme="4" tint="0.89999084444715716"/>
        </patternFill>
      </fill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ont>
        <b/>
        <i val="0"/>
        <u val="none"/>
        <sz val="11"/>
        <color theme="1"/>
      </font>
      <fill>
        <patternFill patternType="solid">
          <bgColor theme="4" tint="0.79998168889431442"/>
        </patternFill>
      </fill>
      <border>
        <left style="thin">
          <color theme="4"/>
        </left>
        <right style="thin">
          <color theme="4" tint="0.59999389629810485"/>
        </right>
        <top style="thin">
          <color theme="4"/>
        </top>
        <bottom style="thin">
          <color theme="4"/>
        </bottom>
        <vertical/>
        <horizontal style="thin">
          <color theme="4" tint="0.59999389629810485"/>
        </horizontal>
      </border>
    </dxf>
    <dxf>
      <font>
        <b/>
        <i val="0"/>
        <u val="none"/>
        <sz val="11"/>
        <color theme="4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/>
      </border>
    </dxf>
    <dxf>
      <font>
        <b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5"/>
        </vertical>
        <horizontal style="thin">
          <color theme="4" tint="0.59999389629810485"/>
        </horizontal>
      </border>
    </dxf>
  </dxfs>
  <tableStyles count="2" defaultTableStyle="TableStyleMedium2" defaultPivotStyle="PivotStyleLight16">
    <tableStyle name="简约中色系标题行首列填充表格样式_097e4d" count="11" xr9:uid="{862FFE51-885A-42B2-9C2E-A2A10CBE8CC6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secondRowStripe" dxfId="21"/>
      <tableStyleElement type="firstColumnStripe" dxfId="20"/>
      <tableStyleElement type="secondColumnStripe" dxfId="19"/>
      <tableStyleElement type="lastHeaderCell" dxfId="18"/>
      <tableStyleElement type="firstTotalCell" dxfId="17"/>
      <tableStyleElement type="lastTotalCell" dxfId="16"/>
    </tableStyle>
    <tableStyle name="三线式标题行镶边行表格样式_5ef0b6" count="9" xr9:uid="{C3B259BE-156C-4310-8A36-DAD8321AB874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secondRowStripe" dxfId="10"/>
      <tableStyleElement type="firstColumnStripe" dxfId="9"/>
      <tableStyleElement type="firstHeaderCell" dxfId="8"/>
      <tableStyleElement type="lastHeaderCell" dxfId="7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张峰宾" refreshedDate="46310.428448842591" createdVersion="5" refreshedVersion="8" minRefreshableVersion="3" recordCount="19" xr:uid="{00000000-000A-0000-FFFF-FFFF00000000}">
  <cacheSource type="worksheet">
    <worksheetSource ref="A1:L1048576" sheet="竞单"/>
  </cacheSource>
  <cacheFields count="12">
    <cacheField name="订单编号" numFmtId="0">
      <sharedItems containsString="0" containsBlank="1" containsNumber="1" containsInteger="1" minValue="7" maxValue="10"/>
    </cacheField>
    <cacheField name="市场" numFmtId="0">
      <sharedItems containsBlank="1"/>
    </cacheField>
    <cacheField name="产品" numFmtId="0">
      <sharedItems containsBlank="1" count="3">
        <s v="鼎芯 K1"/>
        <s v="鼎芯 K2"/>
        <m/>
      </sharedItems>
    </cacheField>
    <cacheField name="特性需求" numFmtId="0">
      <sharedItems containsBlank="1"/>
    </cacheField>
    <cacheField name="参考价" numFmtId="0">
      <sharedItems containsString="0" containsBlank="1" containsNumber="1" containsInteger="1" minValue="4040" maxValue="7450"/>
    </cacheField>
    <cacheField name="数量" numFmtId="0">
      <sharedItems containsString="0" containsBlank="1" containsNumber="1" containsInteger="1" minValue="3000" maxValue="3000"/>
    </cacheField>
    <cacheField name="交货期" numFmtId="0">
      <sharedItems containsBlank="1"/>
    </cacheField>
    <cacheField name="账期" numFmtId="0">
      <sharedItems containsBlank="1"/>
    </cacheField>
    <cacheField name="报价" numFmtId="0">
      <sharedItems containsString="0" containsBlank="1" containsNumber="1" containsInteger="1" minValue="4040" maxValue="7450"/>
    </cacheField>
    <cacheField name="认证" numFmtId="0">
      <sharedItems containsBlank="1"/>
    </cacheField>
    <cacheField name="分配数量" numFmtId="0">
      <sharedItems containsString="0" containsBlank="1" containsNumber="1" containsInteger="1" minValue="87" maxValue="810"/>
    </cacheField>
    <cacheField name="组号" numFmtId="0">
      <sharedItems containsBlank="1" count="13">
        <s v="第3组"/>
        <s v="第2组"/>
        <s v="第11组"/>
        <s v="第4组"/>
        <s v="第5组"/>
        <s v="第25组"/>
        <m/>
        <s v="第8组" u="1"/>
        <s v="第15组" u="1"/>
        <s v="第9组" u="1"/>
        <s v="第1组" u="1"/>
        <s v="第7组" u="1"/>
        <s v="第10组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7"/>
    <s v="区域市场"/>
    <x v="0"/>
    <s v="低功耗设计"/>
    <n v="4050"/>
    <n v="3000"/>
    <s v="4季度"/>
    <s v="2季度"/>
    <n v="4050"/>
    <s v="ISO9000"/>
    <n v="810"/>
    <x v="0"/>
  </r>
  <r>
    <n v="7"/>
    <s v="区域市场"/>
    <x v="0"/>
    <s v="低功耗设计"/>
    <n v="4050"/>
    <n v="3000"/>
    <s v="4季度"/>
    <s v="2季度"/>
    <n v="4050"/>
    <s v="ISO9000"/>
    <n v="641"/>
    <x v="1"/>
  </r>
  <r>
    <n v="8"/>
    <s v="区域市场"/>
    <x v="0"/>
    <s v="高运算性能"/>
    <n v="4040"/>
    <n v="3000"/>
    <s v="4季度"/>
    <s v="2季度"/>
    <n v="4040"/>
    <s v="ISO9000"/>
    <n v="624"/>
    <x v="2"/>
  </r>
  <r>
    <n v="8"/>
    <s v="区域市场"/>
    <x v="0"/>
    <s v="高运算性能"/>
    <n v="4040"/>
    <n v="3000"/>
    <s v="4季度"/>
    <s v="2季度"/>
    <n v="4040"/>
    <s v="ISO9000"/>
    <n v="87"/>
    <x v="3"/>
  </r>
  <r>
    <n v="8"/>
    <s v="区域市场"/>
    <x v="0"/>
    <s v="高运算性能"/>
    <n v="4040"/>
    <n v="3000"/>
    <s v="4季度"/>
    <s v="2季度"/>
    <n v="4040"/>
    <s v="ISO9000"/>
    <n v="640"/>
    <x v="1"/>
  </r>
  <r>
    <n v="8"/>
    <s v="区域市场"/>
    <x v="0"/>
    <s v="高运算性能"/>
    <n v="4040"/>
    <n v="3000"/>
    <s v="4季度"/>
    <s v="2季度"/>
    <n v="4040"/>
    <s v="ISO9000"/>
    <n v="140"/>
    <x v="4"/>
  </r>
  <r>
    <n v="9"/>
    <s v="区域市场"/>
    <x v="1"/>
    <s v="低功耗设计"/>
    <n v="7350"/>
    <n v="3000"/>
    <s v="4季度"/>
    <s v="2季度"/>
    <n v="7350"/>
    <s v="ISO9000"/>
    <n v="390"/>
    <x v="5"/>
  </r>
  <r>
    <n v="10"/>
    <s v="区域市场"/>
    <x v="1"/>
    <s v="高运算性能"/>
    <n v="7450"/>
    <n v="3000"/>
    <s v="4季度"/>
    <s v="3季度"/>
    <n v="7450"/>
    <s v="ISO9000"/>
    <n v="624"/>
    <x v="2"/>
  </r>
  <r>
    <n v="10"/>
    <s v="区域市场"/>
    <x v="1"/>
    <s v="高运算性能"/>
    <n v="7450"/>
    <n v="3000"/>
    <s v="4季度"/>
    <s v="3季度"/>
    <n v="7450"/>
    <s v="ISO9000"/>
    <n v="116"/>
    <x v="0"/>
  </r>
  <r>
    <n v="10"/>
    <s v="区域市场"/>
    <x v="1"/>
    <s v="高运算性能"/>
    <n v="7450"/>
    <n v="3000"/>
    <s v="4季度"/>
    <s v="3季度"/>
    <n v="7450"/>
    <s v="ISO9000"/>
    <n v="128"/>
    <x v="4"/>
  </r>
  <r>
    <m/>
    <m/>
    <x v="2"/>
    <m/>
    <m/>
    <m/>
    <m/>
    <m/>
    <m/>
    <m/>
    <m/>
    <x v="6"/>
  </r>
  <r>
    <m/>
    <m/>
    <x v="2"/>
    <m/>
    <m/>
    <m/>
    <m/>
    <m/>
    <m/>
    <m/>
    <m/>
    <x v="6"/>
  </r>
  <r>
    <m/>
    <m/>
    <x v="2"/>
    <m/>
    <m/>
    <m/>
    <m/>
    <m/>
    <m/>
    <m/>
    <m/>
    <x v="6"/>
  </r>
  <r>
    <m/>
    <m/>
    <x v="2"/>
    <m/>
    <m/>
    <m/>
    <m/>
    <m/>
    <m/>
    <m/>
    <m/>
    <x v="6"/>
  </r>
  <r>
    <m/>
    <m/>
    <x v="2"/>
    <m/>
    <m/>
    <m/>
    <m/>
    <m/>
    <m/>
    <m/>
    <m/>
    <x v="6"/>
  </r>
  <r>
    <m/>
    <m/>
    <x v="2"/>
    <m/>
    <m/>
    <m/>
    <m/>
    <m/>
    <m/>
    <m/>
    <m/>
    <x v="6"/>
  </r>
  <r>
    <m/>
    <m/>
    <x v="2"/>
    <m/>
    <m/>
    <m/>
    <m/>
    <m/>
    <m/>
    <m/>
    <m/>
    <x v="6"/>
  </r>
  <r>
    <m/>
    <m/>
    <x v="2"/>
    <m/>
    <m/>
    <m/>
    <m/>
    <m/>
    <m/>
    <m/>
    <m/>
    <x v="6"/>
  </r>
  <r>
    <m/>
    <m/>
    <x v="2"/>
    <m/>
    <m/>
    <m/>
    <m/>
    <m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数据透视表1" cacheId="0" applyNumberFormats="0" applyBorderFormats="0" applyFontFormats="0" applyPatternFormats="0" applyAlignmentFormats="0" applyWidthHeightFormats="1" dataCaption="值" updatedVersion="8" minRefreshableVersion="3" useAutoFormatting="1" createdVersion="5" indent="0" compact="0" outline="1" outlineData="1" compactData="0" multipleFieldFilters="0">
  <location ref="A3:D21" firstHeaderRow="0" firstDataRow="1" firstDataCol="2"/>
  <pivotFields count="12"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axis="axisRow" compact="0" showAll="0">
      <items count="14">
        <item x="5"/>
        <item x="0"/>
        <item x="3"/>
        <item x="4"/>
        <item x="6"/>
        <item m="1" x="7"/>
        <item m="1" x="8"/>
        <item m="1" x="9"/>
        <item m="1" x="10"/>
        <item m="1" x="11"/>
        <item m="1" x="12"/>
        <item x="1"/>
        <item x="2"/>
        <item t="default"/>
      </items>
    </pivotField>
  </pivotFields>
  <rowFields count="2">
    <field x="11"/>
    <field x="2"/>
  </rowFields>
  <rowItems count="18">
    <i>
      <x/>
    </i>
    <i r="1">
      <x v="1"/>
    </i>
    <i>
      <x v="1"/>
    </i>
    <i r="1">
      <x/>
    </i>
    <i r="1">
      <x v="1"/>
    </i>
    <i>
      <x v="2"/>
    </i>
    <i r="1">
      <x/>
    </i>
    <i>
      <x v="3"/>
    </i>
    <i r="1">
      <x/>
    </i>
    <i r="1">
      <x v="1"/>
    </i>
    <i>
      <x v="4"/>
    </i>
    <i r="1">
      <x v="2"/>
    </i>
    <i>
      <x v="11"/>
    </i>
    <i r="1">
      <x/>
    </i>
    <i>
      <x v="12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分配数量2" fld="10" baseField="0" baseItem="0"/>
    <dataField name="求和项:参考价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M1048576" totalsRowShown="0">
  <autoFilter ref="A1:M1048576" xr:uid="{00000000-0009-0000-0100-000001000000}"/>
  <tableColumns count="13">
    <tableColumn id="1" xr3:uid="{00000000-0010-0000-0000-000001000000}" name="年份"/>
    <tableColumn id="2" xr3:uid="{00000000-0010-0000-0000-000002000000}" name="季度"/>
    <tableColumn id="3" xr3:uid="{00000000-0010-0000-0000-000003000000}" name="编号"/>
    <tableColumn id="4" xr3:uid="{00000000-0010-0000-0000-000004000000}" name="市场"/>
    <tableColumn id="5" xr3:uid="{00000000-0010-0000-0000-000005000000}" name="产品"/>
    <tableColumn id="6" xr3:uid="{00000000-0010-0000-0000-000006000000}" name="特性"/>
    <tableColumn id="7" xr3:uid="{00000000-0010-0000-0000-000007000000}" name="供应商参考价格(元)"/>
    <tableColumn id="8" xr3:uid="{00000000-0010-0000-0000-000008000000}" name="数量"/>
    <tableColumn id="9" xr3:uid="{00000000-0010-0000-0000-000009000000}" name="交货期(季)"/>
    <tableColumn id="10" xr3:uid="{00000000-0010-0000-0000-00000A000000}" name="账期(季)"/>
    <tableColumn id="11" xr3:uid="{00000000-0010-0000-0000-00000B000000}" name="认证"/>
    <tableColumn id="12" xr3:uid="{00000000-0010-0000-0000-00000C000000}" name="#NAME?" dataDxfId="6"/>
    <tableColumn id="13" xr3:uid="{00000000-0010-0000-0000-00000D000000}" name="减去贴现后的价格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8"/>
  <sheetViews>
    <sheetView workbookViewId="0">
      <selection activeCell="D19" sqref="D19"/>
    </sheetView>
  </sheetViews>
  <sheetFormatPr defaultColWidth="9" defaultRowHeight="13.5"/>
  <cols>
    <col min="2" max="4" width="12.875"/>
    <col min="8" max="8" width="12.875" customWidth="1"/>
    <col min="10" max="10" width="19.75" customWidth="1"/>
    <col min="11" max="11" width="15.75" customWidth="1"/>
    <col min="12" max="12" width="19.5" customWidth="1"/>
    <col min="13" max="13" width="16.5" customWidth="1"/>
    <col min="20" max="21" width="12.875"/>
    <col min="22" max="22" width="11.875" customWidth="1"/>
  </cols>
  <sheetData>
    <row r="1" spans="1:24">
      <c r="A1" s="313" t="s">
        <v>0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  <c r="R1" s="314"/>
    </row>
    <row r="2" spans="1:24">
      <c r="A2" s="288" t="s">
        <v>1</v>
      </c>
      <c r="B2" s="289">
        <v>1000000</v>
      </c>
    </row>
    <row r="3" spans="1:24">
      <c r="A3" s="290" t="s">
        <v>2</v>
      </c>
      <c r="B3" s="291">
        <v>3</v>
      </c>
    </row>
    <row r="4" spans="1:24">
      <c r="A4" s="290" t="s">
        <v>3</v>
      </c>
      <c r="B4" s="291">
        <v>10000</v>
      </c>
      <c r="D4" s="316" t="s">
        <v>4</v>
      </c>
      <c r="E4" s="316"/>
      <c r="F4" s="316"/>
      <c r="G4" s="316"/>
      <c r="H4" s="316"/>
      <c r="I4" s="316"/>
      <c r="J4" s="316"/>
      <c r="K4" s="316"/>
      <c r="L4" s="316"/>
    </row>
    <row r="5" spans="1:24">
      <c r="A5" s="290" t="s">
        <v>5</v>
      </c>
      <c r="B5" s="292">
        <v>0.25</v>
      </c>
      <c r="D5" s="316"/>
      <c r="E5" s="316"/>
      <c r="F5" s="316"/>
      <c r="G5" s="316"/>
      <c r="H5" s="316"/>
      <c r="I5" s="316"/>
      <c r="J5" s="316"/>
      <c r="K5" s="316"/>
      <c r="L5" s="316"/>
    </row>
    <row r="6" spans="1:24">
      <c r="A6" s="290" t="s">
        <v>6</v>
      </c>
      <c r="B6" s="292">
        <v>0.03</v>
      </c>
      <c r="D6" s="316"/>
      <c r="E6" s="316"/>
      <c r="F6" s="316"/>
      <c r="G6" s="316"/>
      <c r="H6" s="316"/>
      <c r="I6" s="316"/>
      <c r="J6" s="316"/>
      <c r="K6" s="316"/>
      <c r="L6" s="316"/>
    </row>
    <row r="7" spans="1:24">
      <c r="A7" s="290" t="s">
        <v>7</v>
      </c>
      <c r="B7" s="292">
        <v>0.1</v>
      </c>
      <c r="D7" s="316"/>
      <c r="E7" s="316"/>
      <c r="F7" s="316"/>
      <c r="G7" s="316"/>
      <c r="H7" s="316"/>
      <c r="I7" s="316"/>
      <c r="J7" s="316"/>
      <c r="K7" s="316"/>
      <c r="L7" s="316"/>
    </row>
    <row r="8" spans="1:24">
      <c r="A8" s="290" t="s">
        <v>8</v>
      </c>
      <c r="B8" s="292">
        <v>0.03</v>
      </c>
      <c r="D8" s="316"/>
      <c r="E8" s="316"/>
      <c r="F8" s="316"/>
      <c r="G8" s="316"/>
      <c r="H8" s="316"/>
      <c r="I8" s="316"/>
      <c r="J8" s="316"/>
      <c r="K8" s="316"/>
      <c r="L8" s="316"/>
    </row>
    <row r="9" spans="1:24">
      <c r="A9" s="290" t="s">
        <v>9</v>
      </c>
      <c r="B9" s="293" t="s">
        <v>10</v>
      </c>
      <c r="D9" s="316"/>
      <c r="E9" s="316"/>
      <c r="F9" s="316"/>
      <c r="G9" s="316"/>
      <c r="H9" s="316"/>
      <c r="I9" s="316"/>
      <c r="J9" s="316"/>
      <c r="K9" s="316"/>
      <c r="L9" s="316"/>
    </row>
    <row r="10" spans="1:24">
      <c r="A10" s="290">
        <v>0</v>
      </c>
      <c r="B10" s="292">
        <v>0</v>
      </c>
      <c r="D10" s="316"/>
      <c r="E10" s="316"/>
      <c r="F10" s="316"/>
      <c r="G10" s="316"/>
      <c r="H10" s="316"/>
      <c r="I10" s="316"/>
      <c r="J10" s="316"/>
      <c r="K10" s="316"/>
      <c r="L10" s="316"/>
    </row>
    <row r="11" spans="1:24">
      <c r="A11" s="290">
        <v>1</v>
      </c>
      <c r="B11" s="292">
        <v>0.02</v>
      </c>
      <c r="D11" s="316"/>
      <c r="E11" s="316"/>
      <c r="F11" s="316"/>
      <c r="G11" s="316"/>
      <c r="H11" s="316"/>
      <c r="I11" s="316"/>
      <c r="J11" s="316"/>
      <c r="K11" s="316"/>
      <c r="L11" s="316"/>
    </row>
    <row r="12" spans="1:24">
      <c r="A12" s="290">
        <v>2</v>
      </c>
      <c r="B12" s="292">
        <v>0.04</v>
      </c>
    </row>
    <row r="13" spans="1:24">
      <c r="A13" s="290">
        <v>3</v>
      </c>
      <c r="B13" s="292">
        <v>0.06</v>
      </c>
    </row>
    <row r="14" spans="1:24">
      <c r="A14" s="290">
        <v>4</v>
      </c>
      <c r="B14" s="292">
        <v>0.08</v>
      </c>
    </row>
    <row r="16" spans="1:24" ht="28.5">
      <c r="A16" s="66" t="s">
        <v>11</v>
      </c>
      <c r="B16" s="67" t="s">
        <v>12</v>
      </c>
      <c r="C16" s="68" t="s">
        <v>13</v>
      </c>
      <c r="D16" s="67" t="s">
        <v>14</v>
      </c>
      <c r="E16" s="294" t="s">
        <v>15</v>
      </c>
      <c r="F16" s="294" t="s">
        <v>16</v>
      </c>
      <c r="G16" s="67" t="s">
        <v>17</v>
      </c>
      <c r="H16" s="68" t="s">
        <v>18</v>
      </c>
      <c r="I16" s="67" t="s">
        <v>19</v>
      </c>
      <c r="J16" s="67" t="s">
        <v>20</v>
      </c>
      <c r="K16" s="68" t="s">
        <v>21</v>
      </c>
      <c r="L16" s="295" t="s">
        <v>22</v>
      </c>
      <c r="M16" s="67" t="s">
        <v>23</v>
      </c>
      <c r="N16" s="67" t="s">
        <v>24</v>
      </c>
      <c r="O16" s="67" t="s">
        <v>25</v>
      </c>
      <c r="P16" s="296" t="s">
        <v>26</v>
      </c>
      <c r="Q16" s="296" t="s">
        <v>27</v>
      </c>
      <c r="R16" s="296" t="s">
        <v>28</v>
      </c>
      <c r="S16" s="296" t="s">
        <v>29</v>
      </c>
      <c r="T16" s="296" t="s">
        <v>30</v>
      </c>
      <c r="U16" s="296" t="s">
        <v>31</v>
      </c>
      <c r="V16" s="296" t="s">
        <v>32</v>
      </c>
      <c r="W16" s="296" t="s">
        <v>33</v>
      </c>
      <c r="X16" s="296" t="s">
        <v>34</v>
      </c>
    </row>
    <row r="17" spans="1:24" ht="14.25">
      <c r="A17" s="66" t="s">
        <v>35</v>
      </c>
      <c r="B17" s="67">
        <v>100000</v>
      </c>
      <c r="C17" s="67">
        <v>0</v>
      </c>
      <c r="D17" s="67">
        <v>2</v>
      </c>
      <c r="E17" s="67">
        <v>50</v>
      </c>
      <c r="F17" s="67">
        <v>0</v>
      </c>
      <c r="G17" s="67">
        <v>20000</v>
      </c>
      <c r="H17" s="67">
        <v>10000</v>
      </c>
      <c r="I17" s="67">
        <v>10000</v>
      </c>
      <c r="J17" s="67">
        <v>2</v>
      </c>
      <c r="K17" s="67">
        <v>1</v>
      </c>
      <c r="L17" s="297">
        <v>0</v>
      </c>
      <c r="M17" s="67">
        <v>4</v>
      </c>
      <c r="N17" s="67">
        <v>100</v>
      </c>
      <c r="O17" s="67">
        <v>100</v>
      </c>
      <c r="P17" s="298">
        <f>INT(E17*(1+J17*N17/400+K17*O17/100))</f>
        <v>125</v>
      </c>
      <c r="Q17" s="298">
        <f>INT(E17*(1+J17*N17/400+K17*O17/100)*$L$32)</f>
        <v>150</v>
      </c>
      <c r="R17" s="298">
        <f>(J17*$L$23+K17*$L$24)*3</f>
        <v>9000</v>
      </c>
      <c r="S17" s="298">
        <f>J17*P17*$M$23+K17*P17*$M$24</f>
        <v>12500</v>
      </c>
      <c r="T17" s="298">
        <f>(N17-$O$23)*$M$27*J17+(O17-$O$24)*$M$27*K17</f>
        <v>12000</v>
      </c>
      <c r="U17" s="298">
        <f>(J17+K17)*$M$27*$M$31</f>
        <v>600</v>
      </c>
      <c r="V17" s="298">
        <f>(J17+K17)*$M$27*$M$32</f>
        <v>15000</v>
      </c>
      <c r="W17" s="298">
        <f>ROUNDUP((N17-$O$23)*$M$28*J17+(O17-$O$24)*$M$28*K17,0)</f>
        <v>2040</v>
      </c>
      <c r="X17" s="298">
        <f>ROUNDUP($M$31*$M$28*J17+$M$31*$M$28*K17,0)</f>
        <v>102</v>
      </c>
    </row>
    <row r="18" spans="1:24" ht="14.25">
      <c r="A18" s="66" t="s">
        <v>36</v>
      </c>
      <c r="B18" s="67">
        <v>160000</v>
      </c>
      <c r="C18" s="67">
        <v>1</v>
      </c>
      <c r="D18" s="67">
        <v>1</v>
      </c>
      <c r="E18" s="67">
        <v>35</v>
      </c>
      <c r="F18" s="67">
        <v>0</v>
      </c>
      <c r="G18" s="67">
        <v>10000</v>
      </c>
      <c r="H18" s="67">
        <v>10000</v>
      </c>
      <c r="I18" s="67">
        <v>10000</v>
      </c>
      <c r="J18" s="67">
        <v>1</v>
      </c>
      <c r="K18" s="67">
        <v>1</v>
      </c>
      <c r="L18" s="297">
        <v>0</v>
      </c>
      <c r="M18" s="67">
        <v>4</v>
      </c>
      <c r="N18" s="67">
        <v>100</v>
      </c>
      <c r="O18" s="67">
        <v>100</v>
      </c>
      <c r="P18" s="298">
        <f>INT(E18*(1+J18*N18/400+K18*O18/100))</f>
        <v>78</v>
      </c>
      <c r="Q18" s="298">
        <f>INT(E18*(1+J18*N18/400+K18*O18/100)*$L$32)</f>
        <v>94</v>
      </c>
      <c r="R18" s="298">
        <f>(J18*$L$23+K18*$L$24)*3</f>
        <v>7500</v>
      </c>
      <c r="S18" s="298">
        <f>J18*P18*$M$23+K18*P18*$M$24</f>
        <v>5850</v>
      </c>
      <c r="T18" s="298">
        <f>(N18-$O$23)*$M$27*J18+(O18-$O$24)*$M$27*K18</f>
        <v>8000</v>
      </c>
      <c r="U18" s="298">
        <f>(J18+K18)*$M$27*$M$31</f>
        <v>400</v>
      </c>
      <c r="V18" s="298">
        <f>(J18+K18)*$M$27*$M$32</f>
        <v>10000</v>
      </c>
      <c r="W18" s="298">
        <f>ROUNDUP((N18-$O$23)*$M$28*J18+(O18-$O$24)*$M$28*K18,0)</f>
        <v>1360</v>
      </c>
      <c r="X18" s="298">
        <f>ROUNDUP($M$31*$M$28*J18+$M$31*$M$28*K18,0)</f>
        <v>68</v>
      </c>
    </row>
    <row r="19" spans="1:24" ht="14.25">
      <c r="A19" s="66" t="s">
        <v>37</v>
      </c>
      <c r="B19" s="67">
        <v>250000</v>
      </c>
      <c r="C19" s="67">
        <v>2</v>
      </c>
      <c r="D19" s="67">
        <v>1</v>
      </c>
      <c r="E19" s="67">
        <v>30</v>
      </c>
      <c r="F19" s="67">
        <v>0</v>
      </c>
      <c r="G19" s="67">
        <v>0</v>
      </c>
      <c r="H19" s="67">
        <v>50000</v>
      </c>
      <c r="I19" s="67">
        <v>10000</v>
      </c>
      <c r="J19" s="67">
        <v>1</v>
      </c>
      <c r="K19" s="67">
        <v>2</v>
      </c>
      <c r="L19" s="297">
        <v>0</v>
      </c>
      <c r="M19" s="67">
        <v>4</v>
      </c>
      <c r="N19" s="67">
        <v>100</v>
      </c>
      <c r="O19" s="67">
        <v>100</v>
      </c>
      <c r="P19" s="298">
        <f>INT(E19*(1+J19*N19/400+K19*O19/100))</f>
        <v>97</v>
      </c>
      <c r="Q19" s="298">
        <f>INT(E19*(1+J19*N19/400+K19*O19/100)*$L$32)</f>
        <v>117</v>
      </c>
      <c r="R19" s="298">
        <f>(J19*$L$23+K19*$L$24)*3</f>
        <v>13500</v>
      </c>
      <c r="S19" s="298">
        <f>J19*P19*$M$23+K19*P19*$M$24</f>
        <v>12125</v>
      </c>
      <c r="T19" s="298">
        <f>(N19-$O$23)*$M$27*J19+(O19-$O$24)*$M$27*K19</f>
        <v>12000</v>
      </c>
      <c r="U19" s="298">
        <f>(J19+K19)*$M$27*$M$31</f>
        <v>600</v>
      </c>
      <c r="V19" s="298">
        <f>(J19+K19)*$M$27*$M$32</f>
        <v>15000</v>
      </c>
      <c r="W19" s="298">
        <f>ROUNDUP((N19-$O$23)*$M$28*J19+(O19-$O$24)*$M$28*K19,0)</f>
        <v>2040</v>
      </c>
      <c r="X19" s="298">
        <f>ROUNDUP($M$31*$M$28*J19+$M$31*$M$28*K19,0)</f>
        <v>102</v>
      </c>
    </row>
    <row r="22" spans="1:24" ht="28.5">
      <c r="A22" s="66" t="s">
        <v>38</v>
      </c>
      <c r="B22" s="66" t="s">
        <v>39</v>
      </c>
      <c r="C22" s="67" t="s">
        <v>40</v>
      </c>
      <c r="D22" s="67" t="s">
        <v>41</v>
      </c>
      <c r="E22" s="67" t="s">
        <v>42</v>
      </c>
      <c r="F22" s="67" t="s">
        <v>43</v>
      </c>
      <c r="G22" s="299" t="s">
        <v>44</v>
      </c>
      <c r="H22" s="300" t="s">
        <v>45</v>
      </c>
      <c r="I22" s="64"/>
      <c r="J22" s="66" t="s">
        <v>46</v>
      </c>
      <c r="K22" s="66" t="s">
        <v>47</v>
      </c>
      <c r="L22" s="67" t="s">
        <v>48</v>
      </c>
      <c r="M22" s="67" t="s">
        <v>49</v>
      </c>
      <c r="N22" s="66" t="s">
        <v>50</v>
      </c>
      <c r="O22" s="67" t="s">
        <v>51</v>
      </c>
      <c r="U22" s="315" t="s">
        <v>52</v>
      </c>
      <c r="V22" s="315"/>
    </row>
    <row r="23" spans="1:24" ht="14.25">
      <c r="A23" s="66" t="str">
        <f>现金流量表!H54</f>
        <v>P1</v>
      </c>
      <c r="B23" s="297">
        <v>1800</v>
      </c>
      <c r="C23" s="67">
        <v>2</v>
      </c>
      <c r="D23" s="67">
        <v>2</v>
      </c>
      <c r="E23" s="67">
        <v>1</v>
      </c>
      <c r="F23" s="67">
        <v>0</v>
      </c>
      <c r="G23" s="299">
        <v>0</v>
      </c>
      <c r="H23" s="300">
        <f>C23*$C$30+D23*$D$30+E23*$E$30+F23*$F$30+G23*$G$30</f>
        <v>500</v>
      </c>
      <c r="J23" s="66" t="s">
        <v>53</v>
      </c>
      <c r="K23" s="66" t="s">
        <v>54</v>
      </c>
      <c r="L23" s="67">
        <v>500</v>
      </c>
      <c r="M23" s="67">
        <v>25</v>
      </c>
      <c r="N23" s="66">
        <v>20</v>
      </c>
      <c r="O23" s="67">
        <v>60</v>
      </c>
      <c r="U23" s="301" t="s">
        <v>55</v>
      </c>
      <c r="V23" s="301" t="s">
        <v>56</v>
      </c>
    </row>
    <row r="24" spans="1:24" ht="14.25">
      <c r="A24" s="66" t="str">
        <f>现金流量表!H55</f>
        <v>P2</v>
      </c>
      <c r="B24" s="297">
        <v>3400</v>
      </c>
      <c r="C24" s="67">
        <v>2</v>
      </c>
      <c r="D24" s="67">
        <v>3</v>
      </c>
      <c r="E24" s="67">
        <v>2</v>
      </c>
      <c r="F24" s="67">
        <v>2</v>
      </c>
      <c r="G24" s="299">
        <v>0</v>
      </c>
      <c r="H24" s="300">
        <f>C24*$C$30+D24*$D$30+E24*$E$30+F24*$F$30+G24*$G$30</f>
        <v>900</v>
      </c>
      <c r="J24" s="66" t="s">
        <v>21</v>
      </c>
      <c r="K24" s="66" t="s">
        <v>57</v>
      </c>
      <c r="L24" s="302">
        <v>2000</v>
      </c>
      <c r="M24" s="302">
        <v>50</v>
      </c>
      <c r="N24" s="66">
        <v>10</v>
      </c>
      <c r="O24" s="302">
        <v>60</v>
      </c>
      <c r="S24" s="303" t="s">
        <v>58</v>
      </c>
      <c r="T24" s="303">
        <v>4150</v>
      </c>
      <c r="U24" s="301">
        <f>(V17-U17)/(Q17-P17)</f>
        <v>576</v>
      </c>
      <c r="V24" s="301">
        <f>T24/U24</f>
        <v>7.2048611111111107</v>
      </c>
    </row>
    <row r="25" spans="1:24" ht="14.25">
      <c r="A25" s="66" t="str">
        <f>现金流量表!H56</f>
        <v>P3</v>
      </c>
      <c r="B25" s="297">
        <v>5800</v>
      </c>
      <c r="C25" s="67">
        <v>5</v>
      </c>
      <c r="D25" s="67">
        <v>3</v>
      </c>
      <c r="E25" s="67">
        <v>3</v>
      </c>
      <c r="F25" s="67">
        <v>4</v>
      </c>
      <c r="G25" s="299">
        <v>0</v>
      </c>
      <c r="H25" s="300">
        <f>C25*$C$30+D25*$D$30+E25*$E$30+F25*$F$30+G25*$G$30</f>
        <v>1500</v>
      </c>
      <c r="U25" s="301">
        <f>(V18-U18)/(Q18-P18)</f>
        <v>600</v>
      </c>
      <c r="V25" s="301">
        <f>T25/U25</f>
        <v>0</v>
      </c>
    </row>
    <row r="26" spans="1:24" ht="14.25">
      <c r="A26" s="66" t="str">
        <f>现金流量表!H57</f>
        <v>P4</v>
      </c>
      <c r="B26" s="297">
        <v>8600</v>
      </c>
      <c r="C26" s="67">
        <v>6</v>
      </c>
      <c r="D26" s="67">
        <v>7</v>
      </c>
      <c r="E26" s="67">
        <v>5</v>
      </c>
      <c r="F26" s="67">
        <v>5</v>
      </c>
      <c r="G26" s="299"/>
      <c r="H26" s="300">
        <f>C26*$C$30+D26*$D$30+E26*$E$30+F26*$F$30+G26*$G$30</f>
        <v>2300</v>
      </c>
      <c r="J26" s="66" t="s">
        <v>59</v>
      </c>
      <c r="K26" s="66" t="s">
        <v>47</v>
      </c>
      <c r="L26" s="67" t="s">
        <v>60</v>
      </c>
      <c r="M26" s="300" t="s">
        <v>61</v>
      </c>
      <c r="U26" s="301">
        <f>(V19-U19)/(Q19-P19)</f>
        <v>720</v>
      </c>
      <c r="V26" s="301">
        <f>T26/U26</f>
        <v>0</v>
      </c>
    </row>
    <row r="27" spans="1:24" ht="14.25">
      <c r="A27" s="66">
        <f>现金流量表!H58</f>
        <v>0</v>
      </c>
      <c r="B27" s="66">
        <v>6000</v>
      </c>
      <c r="C27" s="304"/>
      <c r="D27" s="304"/>
      <c r="E27" s="304"/>
      <c r="F27" s="304"/>
      <c r="G27" s="305"/>
      <c r="H27" s="300">
        <f>C27*$C$30+D27*$D$30+E27*$E$30+F27*$F$30+G27*$G$30</f>
        <v>0</v>
      </c>
      <c r="J27" s="66" t="s">
        <v>62</v>
      </c>
      <c r="K27" s="66" t="s">
        <v>63</v>
      </c>
      <c r="L27" s="67">
        <v>100</v>
      </c>
      <c r="M27" s="300">
        <f>ROUNDUP(10000/L27,0)</f>
        <v>100</v>
      </c>
    </row>
    <row r="28" spans="1:24" ht="14.25">
      <c r="B28" s="306" t="s">
        <v>64</v>
      </c>
      <c r="C28" s="307">
        <v>1</v>
      </c>
      <c r="D28" s="307">
        <v>1</v>
      </c>
      <c r="E28" s="307">
        <v>1</v>
      </c>
      <c r="F28" s="307">
        <v>2</v>
      </c>
      <c r="G28" s="307">
        <v>1</v>
      </c>
      <c r="J28" s="66" t="s">
        <v>65</v>
      </c>
      <c r="K28" s="66" t="s">
        <v>66</v>
      </c>
      <c r="L28" s="67">
        <v>600</v>
      </c>
      <c r="M28" s="300">
        <f>ROUNDUP(10000/L28,0)</f>
        <v>17</v>
      </c>
      <c r="R28">
        <f>B17+R17+S17+T17+P17*H23</f>
        <v>196000</v>
      </c>
      <c r="S28">
        <f>R28/P17</f>
        <v>1568</v>
      </c>
    </row>
    <row r="29" spans="1:24" ht="14.25">
      <c r="B29" s="308" t="s">
        <v>67</v>
      </c>
      <c r="C29" s="309">
        <v>0</v>
      </c>
      <c r="D29" s="309">
        <v>0</v>
      </c>
      <c r="E29" s="309">
        <v>0</v>
      </c>
      <c r="F29" s="309">
        <v>0</v>
      </c>
      <c r="G29" s="309">
        <v>0</v>
      </c>
    </row>
    <row r="30" spans="1:24" ht="14.25">
      <c r="B30" s="308" t="s">
        <v>68</v>
      </c>
      <c r="C30" s="309">
        <v>100</v>
      </c>
      <c r="D30" s="309">
        <v>100</v>
      </c>
      <c r="E30" s="309">
        <v>100</v>
      </c>
      <c r="F30" s="309">
        <v>100</v>
      </c>
      <c r="G30" s="309">
        <v>0</v>
      </c>
      <c r="J30" s="66" t="s">
        <v>69</v>
      </c>
      <c r="K30" s="66" t="s">
        <v>70</v>
      </c>
      <c r="L30" s="67" t="s">
        <v>71</v>
      </c>
      <c r="M30" s="67" t="s">
        <v>72</v>
      </c>
    </row>
    <row r="31" spans="1:24" ht="14.25">
      <c r="J31" s="66" t="s">
        <v>73</v>
      </c>
      <c r="K31" s="66" t="s">
        <v>74</v>
      </c>
      <c r="L31" s="67">
        <v>1</v>
      </c>
      <c r="M31" s="67">
        <v>2</v>
      </c>
      <c r="Q31" s="64" t="s">
        <v>75</v>
      </c>
      <c r="R31" s="64"/>
      <c r="S31" s="64"/>
      <c r="T31" s="64"/>
    </row>
    <row r="32" spans="1:24" ht="14.25">
      <c r="J32" s="66" t="s">
        <v>52</v>
      </c>
      <c r="K32" s="66" t="s">
        <v>76</v>
      </c>
      <c r="L32" s="67">
        <v>1.2</v>
      </c>
      <c r="M32" s="67">
        <v>50</v>
      </c>
      <c r="Q32" s="64"/>
      <c r="R32" s="64"/>
      <c r="S32" s="64"/>
      <c r="T32" s="64"/>
    </row>
    <row r="33" spans="1:20">
      <c r="Q33" s="64"/>
      <c r="R33" s="64"/>
      <c r="S33" s="64"/>
      <c r="T33" s="64"/>
    </row>
    <row r="34" spans="1:20">
      <c r="Q34" s="64"/>
      <c r="R34" s="64"/>
      <c r="S34" s="64"/>
      <c r="T34" s="64"/>
    </row>
    <row r="35" spans="1:20">
      <c r="A35" s="168" t="s">
        <v>77</v>
      </c>
      <c r="B35" s="168" t="str">
        <f>A17</f>
        <v>传统线</v>
      </c>
      <c r="C35" s="168" t="str">
        <f>A18</f>
        <v>自动线</v>
      </c>
      <c r="D35" s="168" t="str">
        <f>A19</f>
        <v>智能线</v>
      </c>
      <c r="Q35" s="64"/>
      <c r="R35" s="64"/>
      <c r="S35" s="64"/>
      <c r="T35" s="64"/>
    </row>
    <row r="36" spans="1:20" ht="14.25">
      <c r="A36" s="171" t="str">
        <f>A23</f>
        <v>P1</v>
      </c>
      <c r="B36" s="168">
        <f>(H23*$P$17+$S$17+$U$17+$R$17*2)/$P$17</f>
        <v>748.8</v>
      </c>
      <c r="C36" s="168">
        <f>(H23*$P$18+$S$18+$U$18+$R$18)/$P$18</f>
        <v>676.28205128205127</v>
      </c>
      <c r="D36" s="168">
        <f>(H23*$P$19+$S$19+$U$19+$R$19)/$P$19</f>
        <v>770.36082474226805</v>
      </c>
      <c r="Q36" s="64"/>
      <c r="R36" s="64"/>
      <c r="S36" s="64"/>
      <c r="T36" s="64"/>
    </row>
    <row r="37" spans="1:20" ht="14.25">
      <c r="A37" s="173" t="str">
        <f>A24</f>
        <v>P2</v>
      </c>
      <c r="B37" s="174">
        <f>(H24*$P$17+$S$17+$U$17+$R$17*2)/$P$17</f>
        <v>1148.8</v>
      </c>
      <c r="C37" s="174">
        <f>(H24*$P$18+$S$18+$U$18+$R$18)/$P$18</f>
        <v>1076.2820512820513</v>
      </c>
      <c r="D37" s="174">
        <f>(H24*$P$19+$S$19+$U$19+$R$19)/$P$19</f>
        <v>1170.3608247422681</v>
      </c>
    </row>
    <row r="38" spans="1:20" ht="14.25">
      <c r="A38" s="173" t="str">
        <f>A25</f>
        <v>P3</v>
      </c>
      <c r="B38" s="174">
        <f>(H25*$P$17+$S$17+$U$17+$R$17*2)/$P$17</f>
        <v>1748.8</v>
      </c>
      <c r="C38" s="174">
        <f>(H25*$P$18+$S$18+$U$18+$R$18)/$P$18</f>
        <v>1676.2820512820513</v>
      </c>
      <c r="D38" s="174">
        <f>(H25*$P$19+$S$19+$U$19+$R$19)/$P$19</f>
        <v>1770.3608247422681</v>
      </c>
    </row>
    <row r="39" spans="1:20" ht="14.25">
      <c r="A39" s="173" t="str">
        <f>A26</f>
        <v>P4</v>
      </c>
      <c r="B39" s="174">
        <f>(H26*$P$17+$S$17+$U$17+$R$17*2)/$P$17</f>
        <v>2548.8000000000002</v>
      </c>
      <c r="C39" s="174">
        <f>(H26*$P$18+$S$18+$U$18+$R$18)/$P$18</f>
        <v>2476.2820512820513</v>
      </c>
      <c r="D39" s="174">
        <f>(H26*$P$19+$S$19+$U$19+$R$19)/$P$19</f>
        <v>2570.3608247422681</v>
      </c>
    </row>
    <row r="40" spans="1:20" ht="14.25">
      <c r="A40" s="178">
        <f>A27</f>
        <v>0</v>
      </c>
      <c r="B40" s="179">
        <f>(H27*$P$17+$S$17+$U$17+$R$17*2)/$P$17</f>
        <v>248.8</v>
      </c>
      <c r="C40" s="179">
        <f>(H27*$P$18+$S$18+$U$18+$R$18)/$P$18</f>
        <v>176.28205128205127</v>
      </c>
      <c r="D40" s="179">
        <f>(H27*$P$19+$S$19+$U$19+$R$19)/$P$19</f>
        <v>270.36082474226805</v>
      </c>
    </row>
    <row r="43" spans="1:20">
      <c r="A43" s="168" t="s">
        <v>78</v>
      </c>
      <c r="B43" s="168" t="str">
        <f>B35</f>
        <v>传统线</v>
      </c>
      <c r="C43" s="168" t="str">
        <f>C35</f>
        <v>自动线</v>
      </c>
      <c r="D43" s="168" t="str">
        <f>D35</f>
        <v>智能线</v>
      </c>
    </row>
    <row r="44" spans="1:20" ht="14.25">
      <c r="A44" s="171" t="str">
        <f>A36</f>
        <v>P1</v>
      </c>
      <c r="B44" s="168">
        <f>($Q$17*H23+$R$17+$S$17+$V$17)/$Q$17</f>
        <v>743.33333333333337</v>
      </c>
      <c r="C44" s="168">
        <f>($Q$18*H23+$R$18+$S$18+$V$18)/$Q$18</f>
        <v>748.40425531914889</v>
      </c>
      <c r="D44" s="168">
        <f>($Q$19*H23+$R$19+$S$19+$V$19)/$Q$19</f>
        <v>847.22222222222217</v>
      </c>
      <c r="K44">
        <f>18*94</f>
        <v>1692</v>
      </c>
    </row>
    <row r="45" spans="1:20" ht="14.25">
      <c r="A45" s="173" t="str">
        <f>A37</f>
        <v>P2</v>
      </c>
      <c r="B45" s="174">
        <f>($Q$17*H24+$R$17+$S$17+$V$17)/$Q$17</f>
        <v>1143.3333333333333</v>
      </c>
      <c r="C45" s="174">
        <f>($Q$18*H24+$R$18+$S$18+$V$18)/$Q$18</f>
        <v>1148.4042553191489</v>
      </c>
      <c r="D45" s="174">
        <f>($Q$19*H24+$R$19+$S$19+$V$19)/$Q$19</f>
        <v>1247.2222222222222</v>
      </c>
    </row>
    <row r="46" spans="1:20" ht="14.25">
      <c r="A46" s="173" t="str">
        <f>A38</f>
        <v>P3</v>
      </c>
      <c r="B46" s="174">
        <f>($Q$17*H25+$R$17+$S$17+$V$17)/$Q$17</f>
        <v>1743.3333333333333</v>
      </c>
      <c r="C46" s="174">
        <f>($Q$18*H25+$R$18+$S$18+$V$18)/$Q$18</f>
        <v>1748.4042553191489</v>
      </c>
      <c r="D46" s="174">
        <f>($Q$19*H25+$R$19+$S$19+$V$19)/$Q$19</f>
        <v>1847.2222222222222</v>
      </c>
    </row>
    <row r="47" spans="1:20" ht="14.25">
      <c r="A47" s="173" t="str">
        <f>A39</f>
        <v>P4</v>
      </c>
      <c r="B47" s="174">
        <f>($Q$17*H26+$R$17+$S$17+$V$17)/$Q$17</f>
        <v>2543.3333333333335</v>
      </c>
      <c r="C47" s="174">
        <f>($Q$18*H26+$R$18+$S$18+$V$18)/$Q$18</f>
        <v>2548.4042553191489</v>
      </c>
      <c r="D47" s="174">
        <f>($Q$19*H26+$R$19+$S$19+$V$19)/$Q$19</f>
        <v>2647.2222222222222</v>
      </c>
    </row>
    <row r="48" spans="1:20" ht="14.25">
      <c r="A48" s="178">
        <f>A40</f>
        <v>0</v>
      </c>
      <c r="B48" s="179">
        <f>($Q$17*H27+$R$17+$S$17+$V$17)/$Q$17</f>
        <v>243.33333333333334</v>
      </c>
      <c r="C48" s="179">
        <f>($Q$18*H27+$R$18+$S$18+$V$18)/$Q$18</f>
        <v>248.40425531914894</v>
      </c>
      <c r="D48" s="179">
        <f>($Q$19*H27+$R$19+$S$19+$V$19)/$Q$19</f>
        <v>347.22222222222223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R1"/>
    <mergeCell ref="U22:V22"/>
    <mergeCell ref="D4:L11"/>
  </mergeCells>
  <phoneticPr fontId="3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0"/>
  <sheetViews>
    <sheetView workbookViewId="0">
      <selection activeCell="F20" sqref="F20"/>
    </sheetView>
  </sheetViews>
  <sheetFormatPr defaultColWidth="8.75" defaultRowHeight="13.5"/>
  <cols>
    <col min="1" max="1" width="5.625" customWidth="1"/>
    <col min="2" max="2" width="8.625" customWidth="1"/>
    <col min="3" max="4" width="11" customWidth="1"/>
    <col min="5" max="8" width="16.25" customWidth="1"/>
    <col min="9" max="18" width="11" customWidth="1"/>
  </cols>
  <sheetData>
    <row r="1" spans="1:18" ht="22.5" customHeight="1">
      <c r="A1" s="212"/>
      <c r="B1" s="213"/>
      <c r="C1" s="317" t="s">
        <v>79</v>
      </c>
      <c r="D1" s="317"/>
      <c r="E1" s="317"/>
      <c r="F1" s="317"/>
      <c r="G1" s="317" t="s">
        <v>80</v>
      </c>
      <c r="H1" s="317"/>
      <c r="I1" s="317"/>
      <c r="J1" s="317"/>
      <c r="K1" s="317" t="s">
        <v>81</v>
      </c>
      <c r="L1" s="317"/>
      <c r="M1" s="317"/>
      <c r="N1" s="317"/>
      <c r="O1" s="317" t="s">
        <v>82</v>
      </c>
      <c r="P1" s="317"/>
      <c r="Q1" s="317"/>
      <c r="R1" s="318"/>
    </row>
    <row r="2" spans="1:18" ht="22.5" customHeight="1">
      <c r="A2" s="214"/>
      <c r="B2" s="215"/>
      <c r="C2" s="216" t="s">
        <v>83</v>
      </c>
      <c r="D2" s="217" t="s">
        <v>84</v>
      </c>
      <c r="E2" s="217" t="s">
        <v>85</v>
      </c>
      <c r="F2" s="217" t="s">
        <v>86</v>
      </c>
      <c r="G2" s="217" t="s">
        <v>83</v>
      </c>
      <c r="H2" s="217" t="s">
        <v>84</v>
      </c>
      <c r="I2" s="217" t="s">
        <v>85</v>
      </c>
      <c r="J2" s="217" t="s">
        <v>86</v>
      </c>
      <c r="K2" s="217" t="s">
        <v>83</v>
      </c>
      <c r="L2" s="217" t="s">
        <v>84</v>
      </c>
      <c r="M2" s="217" t="s">
        <v>85</v>
      </c>
      <c r="N2" s="217" t="s">
        <v>86</v>
      </c>
      <c r="O2" s="217" t="s">
        <v>83</v>
      </c>
      <c r="P2" s="217" t="s">
        <v>84</v>
      </c>
      <c r="Q2" s="217" t="s">
        <v>85</v>
      </c>
      <c r="R2" s="218" t="s">
        <v>86</v>
      </c>
    </row>
    <row r="3" spans="1:18" ht="22.5" customHeight="1">
      <c r="A3" s="321" t="s">
        <v>87</v>
      </c>
      <c r="B3" s="219" t="s">
        <v>88</v>
      </c>
      <c r="C3" s="220"/>
      <c r="D3" s="221"/>
      <c r="E3" s="221"/>
      <c r="F3" s="222"/>
      <c r="G3" s="222"/>
      <c r="H3" s="223"/>
      <c r="I3" s="223"/>
      <c r="J3" s="223"/>
      <c r="K3" s="224"/>
      <c r="L3" s="221"/>
      <c r="M3" s="221"/>
      <c r="N3" s="222"/>
      <c r="O3" s="222"/>
      <c r="P3" s="223"/>
      <c r="Q3" s="223"/>
      <c r="R3" s="225"/>
    </row>
    <row r="4" spans="1:18" ht="22.5" customHeight="1">
      <c r="A4" s="322"/>
      <c r="B4" s="226" t="s">
        <v>89</v>
      </c>
      <c r="C4" s="227"/>
      <c r="D4" s="228"/>
      <c r="E4" s="228"/>
      <c r="F4" s="229"/>
      <c r="G4" s="229"/>
      <c r="H4" s="230"/>
      <c r="I4" s="230"/>
      <c r="J4" s="230"/>
      <c r="K4" s="231"/>
      <c r="L4" s="228"/>
      <c r="M4" s="228"/>
      <c r="N4" s="229"/>
      <c r="O4" s="229"/>
      <c r="P4" s="230"/>
      <c r="Q4" s="230"/>
      <c r="R4" s="232"/>
    </row>
    <row r="5" spans="1:18" ht="22.5" customHeight="1">
      <c r="A5" s="322"/>
      <c r="B5" s="226" t="s">
        <v>90</v>
      </c>
      <c r="C5" s="227"/>
      <c r="D5" s="228"/>
      <c r="E5" s="228"/>
      <c r="F5" s="229"/>
      <c r="G5" s="229"/>
      <c r="H5" s="230"/>
      <c r="I5" s="230"/>
      <c r="J5" s="230"/>
      <c r="K5" s="231"/>
      <c r="L5" s="228"/>
      <c r="M5" s="228"/>
      <c r="N5" s="229"/>
      <c r="O5" s="229"/>
      <c r="P5" s="230"/>
      <c r="Q5" s="230"/>
      <c r="R5" s="232"/>
    </row>
    <row r="6" spans="1:18" ht="22.5" customHeight="1">
      <c r="A6" s="322"/>
      <c r="B6" s="226" t="s">
        <v>91</v>
      </c>
      <c r="C6" s="227"/>
      <c r="D6" s="228"/>
      <c r="E6" s="233"/>
      <c r="F6" s="229"/>
      <c r="G6" s="229"/>
      <c r="H6" s="230"/>
      <c r="I6" s="230"/>
      <c r="J6" s="230"/>
      <c r="K6" s="231"/>
      <c r="L6" s="228"/>
      <c r="M6" s="228"/>
      <c r="N6" s="229"/>
      <c r="O6" s="229"/>
      <c r="P6" s="230"/>
      <c r="Q6" s="230"/>
      <c r="R6" s="232"/>
    </row>
    <row r="7" spans="1:18" ht="22.5" customHeight="1">
      <c r="A7" s="323"/>
      <c r="B7" s="234" t="s">
        <v>92</v>
      </c>
      <c r="C7" s="235"/>
      <c r="D7" s="236"/>
      <c r="E7" s="236"/>
      <c r="F7" s="237"/>
      <c r="G7" s="237"/>
      <c r="H7" s="238"/>
      <c r="I7" s="238"/>
      <c r="J7" s="238"/>
      <c r="K7" s="239"/>
      <c r="L7" s="236"/>
      <c r="M7" s="236"/>
      <c r="N7" s="237"/>
      <c r="O7" s="237"/>
      <c r="P7" s="238"/>
      <c r="Q7" s="238"/>
      <c r="R7" s="232"/>
    </row>
    <row r="8" spans="1:18" ht="22.5" hidden="1" customHeight="1">
      <c r="A8" s="324" t="s">
        <v>93</v>
      </c>
      <c r="B8" s="219" t="s">
        <v>94</v>
      </c>
      <c r="C8" s="240">
        <f ca="1">N(OFFSET(C8,-5,0))+N(OFFSET(C8,-4,-1))+N(OFFSET(C8,-3,-2))+IFERROR(N(OFFSET(C8,-2,-3)),0)+IFERROR(N(OFFSET(C8,-1,-4)),0)+C3</f>
        <v>0</v>
      </c>
      <c r="D8" s="241">
        <f ca="1">C9+D3-现金流量表!C50</f>
        <v>0</v>
      </c>
      <c r="E8" s="241">
        <f ca="1">D9+E3-现金流量表!D50</f>
        <v>0</v>
      </c>
      <c r="F8" s="242">
        <f ca="1">E9+F3-现金流量表!E51</f>
        <v>0</v>
      </c>
      <c r="G8" s="243">
        <f ca="1">F9+G3-现金流量表!F51</f>
        <v>0</v>
      </c>
      <c r="H8" s="244">
        <f ca="1">G9+H3-现金流量表!O51</f>
        <v>0</v>
      </c>
      <c r="I8" s="244">
        <f ca="1">H9+I3-现金流量表!P51</f>
        <v>0</v>
      </c>
      <c r="J8" s="244">
        <f ca="1">I9+J3-现金流量表!Q51</f>
        <v>0</v>
      </c>
      <c r="K8" s="245">
        <f ca="1">J9+K3-现金流量表!R51</f>
        <v>0</v>
      </c>
      <c r="L8" s="241">
        <f ca="1">K9+L3-现金流量表!AA51</f>
        <v>0</v>
      </c>
      <c r="M8" s="241">
        <f ca="1">L9+M3-现金流量表!AB51</f>
        <v>0</v>
      </c>
      <c r="N8" s="242">
        <f ca="1">M9+N3-现金流量表!AC51</f>
        <v>0</v>
      </c>
      <c r="O8" s="243">
        <f ca="1">N9+O3-现金流量表!AD51</f>
        <v>0</v>
      </c>
      <c r="P8" s="244">
        <f ca="1">O9+P3-现金流量表!AK51</f>
        <v>0</v>
      </c>
      <c r="Q8" s="244">
        <f ca="1">P9+Q3-现金流量表!AL51</f>
        <v>0</v>
      </c>
      <c r="R8" s="246">
        <f ca="1">Q9+R3-现金流量表!AM51</f>
        <v>0</v>
      </c>
    </row>
    <row r="9" spans="1:18" ht="22.5" hidden="1" customHeight="1">
      <c r="A9" s="325"/>
      <c r="B9" s="226" t="s">
        <v>89</v>
      </c>
      <c r="C9" s="247">
        <f ca="1">N(OFFSET(C9,-5,0))+N(OFFSET(C9,-4,-1))+N(OFFSET(C9,-3,-2))+IFERROR(N(OFFSET(C9,-2,-3)),0)+C4</f>
        <v>0</v>
      </c>
      <c r="D9" s="248">
        <f ca="1">C10+D4-现金流量表!C51</f>
        <v>0</v>
      </c>
      <c r="E9" s="248">
        <f ca="1">D10+E4-现金流量表!D51</f>
        <v>0</v>
      </c>
      <c r="F9" s="249">
        <f ca="1">E10+F4-现金流量表!E52</f>
        <v>0</v>
      </c>
      <c r="G9" s="250">
        <f ca="1">F10+G4-现金流量表!F52</f>
        <v>0</v>
      </c>
      <c r="H9" s="251">
        <f ca="1">G10+H4-现金流量表!O52</f>
        <v>0</v>
      </c>
      <c r="I9" s="251">
        <f ca="1">H10+I4-现金流量表!P52</f>
        <v>0</v>
      </c>
      <c r="J9" s="251">
        <f ca="1">I10+J4-现金流量表!Q52</f>
        <v>0</v>
      </c>
      <c r="K9" s="252">
        <f ca="1">J10+K4-现金流量表!R52</f>
        <v>0</v>
      </c>
      <c r="L9" s="248">
        <f ca="1">K10+L4-现金流量表!AA52</f>
        <v>0</v>
      </c>
      <c r="M9" s="248">
        <f ca="1">L10+M4-现金流量表!AB52</f>
        <v>0</v>
      </c>
      <c r="N9" s="249">
        <f ca="1">M10+N4-现金流量表!AC52</f>
        <v>0</v>
      </c>
      <c r="O9" s="250">
        <f ca="1">N10+O4-现金流量表!AD52</f>
        <v>0</v>
      </c>
      <c r="P9" s="251">
        <f ca="1">O10+P4-现金流量表!AK52</f>
        <v>0</v>
      </c>
      <c r="Q9" s="251">
        <f ca="1">P10+Q4-现金流量表!AL52</f>
        <v>0</v>
      </c>
      <c r="R9" s="253">
        <f ca="1">Q10+R4-现金流量表!AM52</f>
        <v>0</v>
      </c>
    </row>
    <row r="10" spans="1:18" ht="22.5" hidden="1" customHeight="1">
      <c r="A10" s="325"/>
      <c r="B10" s="226" t="s">
        <v>90</v>
      </c>
      <c r="C10" s="247">
        <f ca="1">N(OFFSET(C10,-5,0))+N(OFFSET(C10,-4,-1))+N(OFFSET(C10,-3,-2))+C5</f>
        <v>0</v>
      </c>
      <c r="D10" s="248">
        <f ca="1">C11+D5-现金流量表!C52</f>
        <v>0</v>
      </c>
      <c r="E10" s="248">
        <f ca="1">D11+E5-现金流量表!D52</f>
        <v>0</v>
      </c>
      <c r="F10" s="249">
        <f ca="1">E11+F5-现金流量表!E53</f>
        <v>0</v>
      </c>
      <c r="G10" s="250">
        <f ca="1">F11+G5-现金流量表!F53</f>
        <v>0</v>
      </c>
      <c r="H10" s="251">
        <f ca="1">G11+H5-现金流量表!O53</f>
        <v>0</v>
      </c>
      <c r="I10" s="251">
        <f ca="1">H11+I5-现金流量表!P53</f>
        <v>0</v>
      </c>
      <c r="J10" s="251">
        <f ca="1">I11+J5-现金流量表!Q53</f>
        <v>0</v>
      </c>
      <c r="K10" s="252">
        <f ca="1">J11+K5-现金流量表!R53</f>
        <v>0</v>
      </c>
      <c r="L10" s="248">
        <f ca="1">K11+L5-现金流量表!AA53</f>
        <v>0</v>
      </c>
      <c r="M10" s="248">
        <f ca="1">L11+M5-现金流量表!AB53</f>
        <v>0</v>
      </c>
      <c r="N10" s="249">
        <f ca="1">M11+N5-现金流量表!AC53</f>
        <v>0</v>
      </c>
      <c r="O10" s="250">
        <f ca="1">N11+O5-现金流量表!AD53</f>
        <v>0</v>
      </c>
      <c r="P10" s="251">
        <f ca="1">O11+P5-现金流量表!AK53</f>
        <v>0</v>
      </c>
      <c r="Q10" s="251">
        <f ca="1">P11+Q5-现金流量表!AL53</f>
        <v>0</v>
      </c>
      <c r="R10" s="253">
        <f ca="1">Q11+R5-现金流量表!AM53</f>
        <v>0</v>
      </c>
    </row>
    <row r="11" spans="1:18" ht="22.5" hidden="1" customHeight="1">
      <c r="A11" s="325"/>
      <c r="B11" s="226" t="s">
        <v>91</v>
      </c>
      <c r="C11" s="247">
        <f ca="1">N(OFFSET(C11,-5,0))+N(OFFSET(C11,-4,-1))+C6</f>
        <v>0</v>
      </c>
      <c r="D11" s="248">
        <f ca="1">C12+D6-现金流量表!C53</f>
        <v>0</v>
      </c>
      <c r="E11" s="248">
        <f ca="1">E6+D12-现金流量表!D53</f>
        <v>0</v>
      </c>
      <c r="F11" s="249">
        <f ca="1">E12+F6-现金流量表!E54</f>
        <v>0</v>
      </c>
      <c r="G11" s="250">
        <f ca="1">F12+G6-现金流量表!F54</f>
        <v>0</v>
      </c>
      <c r="H11" s="251">
        <f ca="1">G12+H6-现金流量表!O54</f>
        <v>0</v>
      </c>
      <c r="I11" s="251">
        <f ca="1">H12+I6-现金流量表!P54</f>
        <v>0</v>
      </c>
      <c r="J11" s="251">
        <f ca="1">I12+J6-现金流量表!Q54</f>
        <v>0</v>
      </c>
      <c r="K11" s="252">
        <f ca="1">J12+K6-现金流量表!R54</f>
        <v>0</v>
      </c>
      <c r="L11" s="248">
        <f ca="1">K12+L6-现金流量表!AA54</f>
        <v>0</v>
      </c>
      <c r="M11" s="248">
        <f ca="1">L12+M6-现金流量表!AB54</f>
        <v>0</v>
      </c>
      <c r="N11" s="249">
        <f ca="1">M12+N6-现金流量表!AC54</f>
        <v>0</v>
      </c>
      <c r="O11" s="250">
        <f ca="1">N12+O6-现金流量表!AD54</f>
        <v>0</v>
      </c>
      <c r="P11" s="251">
        <f ca="1">O12+P6-现金流量表!AK54</f>
        <v>0</v>
      </c>
      <c r="Q11" s="251">
        <f ca="1">P12+Q6-现金流量表!AL54</f>
        <v>0</v>
      </c>
      <c r="R11" s="253">
        <f ca="1">Q12+R6-现金流量表!AM54</f>
        <v>0</v>
      </c>
    </row>
    <row r="12" spans="1:18" ht="22.5" hidden="1" customHeight="1">
      <c r="A12" s="326"/>
      <c r="B12" s="254" t="s">
        <v>92</v>
      </c>
      <c r="C12" s="255">
        <f ca="1">N(OFFSET(C12,-5,0))+C7</f>
        <v>0</v>
      </c>
      <c r="D12" s="256">
        <f ca="1">D7-现金流量表!C54</f>
        <v>0</v>
      </c>
      <c r="E12" s="256">
        <f ca="1">E7-现金流量表!D54</f>
        <v>0</v>
      </c>
      <c r="F12" s="257">
        <f t="shared" ref="F12:R12" si="0">F7</f>
        <v>0</v>
      </c>
      <c r="G12" s="258">
        <f t="shared" si="0"/>
        <v>0</v>
      </c>
      <c r="H12" s="259">
        <f t="shared" si="0"/>
        <v>0</v>
      </c>
      <c r="I12" s="259">
        <f t="shared" si="0"/>
        <v>0</v>
      </c>
      <c r="J12" s="259">
        <f t="shared" si="0"/>
        <v>0</v>
      </c>
      <c r="K12" s="260">
        <f t="shared" si="0"/>
        <v>0</v>
      </c>
      <c r="L12" s="256">
        <f t="shared" si="0"/>
        <v>0</v>
      </c>
      <c r="M12" s="256">
        <f t="shared" si="0"/>
        <v>0</v>
      </c>
      <c r="N12" s="257">
        <f t="shared" si="0"/>
        <v>0</v>
      </c>
      <c r="O12" s="258">
        <f t="shared" si="0"/>
        <v>0</v>
      </c>
      <c r="P12" s="259">
        <f t="shared" si="0"/>
        <v>0</v>
      </c>
      <c r="Q12" s="259">
        <f t="shared" si="0"/>
        <v>0</v>
      </c>
      <c r="R12" s="261">
        <f t="shared" si="0"/>
        <v>0</v>
      </c>
    </row>
    <row r="13" spans="1:18" ht="22.5" customHeight="1">
      <c r="A13" s="324" t="s">
        <v>95</v>
      </c>
      <c r="B13" s="219" t="s">
        <v>94</v>
      </c>
      <c r="C13" s="262">
        <f ca="1">C8-现金流量表!C50</f>
        <v>0</v>
      </c>
      <c r="D13" s="263">
        <f ca="1">D8-现金流量表!D50</f>
        <v>0</v>
      </c>
      <c r="E13" s="264">
        <f ca="1">E8-现金流量表!E50</f>
        <v>0</v>
      </c>
      <c r="F13" s="265">
        <f ca="1">F8-现金流量表!F50</f>
        <v>0</v>
      </c>
      <c r="G13" s="265">
        <f ca="1">G8-现金流量表!O50</f>
        <v>0</v>
      </c>
      <c r="H13" s="266">
        <f ca="1">H8-现金流量表!P50</f>
        <v>0</v>
      </c>
      <c r="I13" s="266">
        <f ca="1">I8-现金流量表!Q50</f>
        <v>0</v>
      </c>
      <c r="J13" s="266">
        <f ca="1">J8-现金流量表!R50</f>
        <v>0</v>
      </c>
      <c r="K13" s="267">
        <f ca="1">K8-现金流量表!AA50</f>
        <v>0</v>
      </c>
      <c r="L13" s="263">
        <f ca="1">L8-现金流量表!AB50</f>
        <v>0</v>
      </c>
      <c r="M13" s="263">
        <f ca="1">M8-现金流量表!AC50</f>
        <v>0</v>
      </c>
      <c r="N13" s="265">
        <f ca="1">N8-现金流量表!AD50</f>
        <v>0</v>
      </c>
      <c r="O13" s="265">
        <f ca="1">O8-现金流量表!AK50</f>
        <v>0</v>
      </c>
      <c r="P13" s="266">
        <f ca="1">P8-现金流量表!AL50</f>
        <v>0</v>
      </c>
      <c r="Q13" s="266">
        <f ca="1">Q8-现金流量表!AM50</f>
        <v>0</v>
      </c>
      <c r="R13" s="268">
        <f ca="1">R8-现金流量表!AN50</f>
        <v>0</v>
      </c>
    </row>
    <row r="14" spans="1:18" ht="22.5" customHeight="1">
      <c r="A14" s="325"/>
      <c r="B14" s="226" t="s">
        <v>89</v>
      </c>
      <c r="C14" s="269">
        <f ca="1">C9-现金流量表!C51</f>
        <v>0</v>
      </c>
      <c r="D14" s="270">
        <f ca="1">D9-现金流量表!D51</f>
        <v>0</v>
      </c>
      <c r="E14" s="270">
        <f ca="1">E9-现金流量表!E51</f>
        <v>0</v>
      </c>
      <c r="F14" s="271">
        <f ca="1">F9-现金流量表!F51</f>
        <v>0</v>
      </c>
      <c r="G14" s="271">
        <f ca="1">G9-现金流量表!O51</f>
        <v>0</v>
      </c>
      <c r="H14" s="272">
        <f ca="1">H9-现金流量表!P51</f>
        <v>0</v>
      </c>
      <c r="I14" s="272">
        <f ca="1">I9-现金流量表!Q51</f>
        <v>0</v>
      </c>
      <c r="J14" s="272">
        <f ca="1">J9-现金流量表!R51</f>
        <v>0</v>
      </c>
      <c r="K14" s="273">
        <f ca="1">K9-现金流量表!AA51</f>
        <v>0</v>
      </c>
      <c r="L14" s="270">
        <f ca="1">L9-现金流量表!AB51</f>
        <v>0</v>
      </c>
      <c r="M14" s="270">
        <f ca="1">M9-现金流量表!AC51</f>
        <v>0</v>
      </c>
      <c r="N14" s="271">
        <f ca="1">N9-现金流量表!AD51</f>
        <v>0</v>
      </c>
      <c r="O14" s="271">
        <f ca="1">O9-现金流量表!AK51</f>
        <v>0</v>
      </c>
      <c r="P14" s="272">
        <f ca="1">P9-现金流量表!AL51</f>
        <v>0</v>
      </c>
      <c r="Q14" s="272">
        <f ca="1">Q9-现金流量表!AM51</f>
        <v>0</v>
      </c>
      <c r="R14" s="274">
        <f ca="1">R9-现金流量表!AN51</f>
        <v>0</v>
      </c>
    </row>
    <row r="15" spans="1:18" ht="22.5" customHeight="1">
      <c r="A15" s="325"/>
      <c r="B15" s="226" t="s">
        <v>90</v>
      </c>
      <c r="C15" s="269">
        <f ca="1">C10-现金流量表!C52</f>
        <v>0</v>
      </c>
      <c r="D15" s="270">
        <f ca="1">D10-现金流量表!D52</f>
        <v>0</v>
      </c>
      <c r="E15" s="270">
        <f ca="1">E10-现金流量表!E52</f>
        <v>0</v>
      </c>
      <c r="F15" s="271">
        <f ca="1">F10-现金流量表!F52</f>
        <v>0</v>
      </c>
      <c r="G15" s="271">
        <f ca="1">G10-现金流量表!O52</f>
        <v>0</v>
      </c>
      <c r="H15" s="272">
        <f ca="1">H10-现金流量表!P52</f>
        <v>0</v>
      </c>
      <c r="I15" s="272">
        <f ca="1">I10-现金流量表!Q52</f>
        <v>0</v>
      </c>
      <c r="J15" s="272">
        <f ca="1">J10-现金流量表!R52</f>
        <v>0</v>
      </c>
      <c r="K15" s="273">
        <f ca="1">K10-现金流量表!AA52</f>
        <v>0</v>
      </c>
      <c r="L15" s="270">
        <f ca="1">L10-现金流量表!AB52</f>
        <v>0</v>
      </c>
      <c r="M15" s="270">
        <f ca="1">M10-现金流量表!AC52</f>
        <v>0</v>
      </c>
      <c r="N15" s="271">
        <f ca="1">N10-现金流量表!AD52</f>
        <v>0</v>
      </c>
      <c r="O15" s="271">
        <f ca="1">O10-现金流量表!AK52</f>
        <v>0</v>
      </c>
      <c r="P15" s="272">
        <f ca="1">P10-现金流量表!AL52</f>
        <v>0</v>
      </c>
      <c r="Q15" s="272">
        <f ca="1">Q10-现金流量表!AM52</f>
        <v>0</v>
      </c>
      <c r="R15" s="274">
        <f ca="1">R10-现金流量表!AN52</f>
        <v>0</v>
      </c>
    </row>
    <row r="16" spans="1:18" ht="22.5" customHeight="1">
      <c r="A16" s="325"/>
      <c r="B16" s="226" t="s">
        <v>91</v>
      </c>
      <c r="C16" s="269">
        <f ca="1">C11-现金流量表!C53</f>
        <v>0</v>
      </c>
      <c r="D16" s="270">
        <f ca="1">D11-现金流量表!D53</f>
        <v>0</v>
      </c>
      <c r="E16" s="270">
        <f ca="1">E11-现金流量表!E53</f>
        <v>0</v>
      </c>
      <c r="F16" s="271">
        <f ca="1">F11-现金流量表!F53</f>
        <v>0</v>
      </c>
      <c r="G16" s="271">
        <f ca="1">G11-现金流量表!O53</f>
        <v>0</v>
      </c>
      <c r="H16" s="272">
        <f ca="1">H11-现金流量表!P53</f>
        <v>0</v>
      </c>
      <c r="I16" s="272">
        <f ca="1">I11-现金流量表!Q53</f>
        <v>0</v>
      </c>
      <c r="J16" s="272">
        <f ca="1">J11-现金流量表!R53</f>
        <v>0</v>
      </c>
      <c r="K16" s="273">
        <f ca="1">K11-现金流量表!AA53</f>
        <v>0</v>
      </c>
      <c r="L16" s="270">
        <f ca="1">L11-现金流量表!AB53</f>
        <v>0</v>
      </c>
      <c r="M16" s="270">
        <f ca="1">M11-现金流量表!AC53</f>
        <v>0</v>
      </c>
      <c r="N16" s="271">
        <f ca="1">N11-现金流量表!AD53</f>
        <v>0</v>
      </c>
      <c r="O16" s="271">
        <f ca="1">O11-现金流量表!AK53</f>
        <v>0</v>
      </c>
      <c r="P16" s="272">
        <f ca="1">P11-现金流量表!AL53</f>
        <v>0</v>
      </c>
      <c r="Q16" s="272">
        <f ca="1">Q11-现金流量表!AM53</f>
        <v>0</v>
      </c>
      <c r="R16" s="274">
        <f ca="1">R11-现金流量表!AN53</f>
        <v>0</v>
      </c>
    </row>
    <row r="17" spans="1:19" ht="22.5" customHeight="1">
      <c r="A17" s="326"/>
      <c r="B17" s="254" t="s">
        <v>92</v>
      </c>
      <c r="C17" s="275">
        <f ca="1">C12-现金流量表!C54</f>
        <v>0</v>
      </c>
      <c r="D17" s="276">
        <f ca="1">D12-现金流量表!D54</f>
        <v>0</v>
      </c>
      <c r="E17" s="276">
        <f ca="1">E12-现金流量表!E54</f>
        <v>0</v>
      </c>
      <c r="F17" s="277">
        <f ca="1">F12-现金流量表!F54</f>
        <v>0</v>
      </c>
      <c r="G17" s="277">
        <f ca="1">G12-现金流量表!O54</f>
        <v>0</v>
      </c>
      <c r="H17" s="278">
        <f ca="1">H12-现金流量表!P54</f>
        <v>0</v>
      </c>
      <c r="I17" s="278">
        <f ca="1">I12-现金流量表!Q54</f>
        <v>0</v>
      </c>
      <c r="J17" s="278">
        <f ca="1">J12-现金流量表!R54</f>
        <v>0</v>
      </c>
      <c r="K17" s="279">
        <f ca="1">K12-现金流量表!AA54</f>
        <v>0</v>
      </c>
      <c r="L17" s="276">
        <f ca="1">L12-现金流量表!AB54</f>
        <v>0</v>
      </c>
      <c r="M17" s="276">
        <f ca="1">M12-现金流量表!AC54</f>
        <v>0</v>
      </c>
      <c r="N17" s="277">
        <f ca="1">N12-现金流量表!AD54</f>
        <v>0</v>
      </c>
      <c r="O17" s="277">
        <f ca="1">O12-现金流量表!AK54</f>
        <v>0</v>
      </c>
      <c r="P17" s="278">
        <f ca="1">P12-现金流量表!AL54</f>
        <v>0</v>
      </c>
      <c r="Q17" s="278">
        <f ca="1">Q12-现金流量表!AM54</f>
        <v>0</v>
      </c>
      <c r="R17" s="280">
        <f ca="1">R12-现金流量表!AN54</f>
        <v>0</v>
      </c>
    </row>
    <row r="18" spans="1:19" ht="22.5" customHeight="1">
      <c r="A18" s="319" t="s">
        <v>96</v>
      </c>
      <c r="B18" s="320"/>
      <c r="C18" s="281" cm="1">
        <f t="array" aca="1" ref="C18" ca="1">SUMPRODUCT(现金流量表!C50:C54,规则表!$B$10:$B$14)</f>
        <v>0</v>
      </c>
      <c r="D18" s="282" cm="1">
        <f t="array" aca="1" ref="D18" ca="1">SUMPRODUCT(现金流量表!D50:D54,规则表!$B$10:$B$14)</f>
        <v>0</v>
      </c>
      <c r="E18" s="282" cm="1">
        <f t="array" aca="1" ref="E18" ca="1">SUMPRODUCT(现金流量表!E50:E54,规则表!$B$10:$B$14)</f>
        <v>0</v>
      </c>
      <c r="F18" s="283" cm="1">
        <f t="array" aca="1" ref="F18" ca="1">SUMPRODUCT(现金流量表!F50:F54,规则表!$B$10:$B$14)</f>
        <v>0</v>
      </c>
      <c r="G18" s="283" cm="1">
        <f t="array" aca="1" ref="G18" ca="1">SUMPRODUCT(现金流量表!O50:O54,规则表!$B$10:$B$14)</f>
        <v>0</v>
      </c>
      <c r="H18" s="284" cm="1">
        <f t="array" aca="1" ref="H18" ca="1">SUMPRODUCT(现金流量表!P50:P54,规则表!$B$10:$B$14)</f>
        <v>0</v>
      </c>
      <c r="I18" s="284" cm="1">
        <f t="array" aca="1" ref="I18" ca="1">SUMPRODUCT(现金流量表!Q50:Q54,规则表!$B$10:$B$14)</f>
        <v>0</v>
      </c>
      <c r="J18" s="284" cm="1">
        <f t="array" aca="1" ref="J18" ca="1">SUMPRODUCT(现金流量表!R50:R54,规则表!$B$10:$B$14)</f>
        <v>0</v>
      </c>
      <c r="K18" s="285" cm="1">
        <f t="array" aca="1" ref="K18" ca="1">SUMPRODUCT(现金流量表!AA50:AA54,规则表!$B$10:$B$14)</f>
        <v>0</v>
      </c>
      <c r="L18" s="282" cm="1">
        <f t="array" aca="1" ref="L18" ca="1">SUMPRODUCT(现金流量表!AB50:AB54,规则表!$B$10:$B$14)</f>
        <v>0</v>
      </c>
      <c r="M18" s="282" cm="1">
        <f t="array" aca="1" ref="M18" ca="1">SUMPRODUCT(现金流量表!AC50:AC54,规则表!$B$10:$B$14)</f>
        <v>0</v>
      </c>
      <c r="N18" s="283" cm="1">
        <f t="array" aca="1" ref="N18" ca="1">SUMPRODUCT(现金流量表!AD50:AD54,规则表!$B$10:$B$14)</f>
        <v>0</v>
      </c>
      <c r="O18" s="283" cm="1">
        <f t="array" aca="1" ref="O18" ca="1">SUMPRODUCT(现金流量表!AK50:AK54,规则表!$B$10:$B$14)</f>
        <v>0</v>
      </c>
      <c r="P18" s="284" cm="1">
        <f t="array" aca="1" ref="P18" ca="1">SUMPRODUCT(现金流量表!AL50:AL54,规则表!$B$10:$B$14)</f>
        <v>0</v>
      </c>
      <c r="Q18" s="284" cm="1">
        <f t="array" aca="1" ref="Q18" ca="1">SUMPRODUCT(现金流量表!AM50:AM54,规则表!$B$10:$B$14)</f>
        <v>0</v>
      </c>
      <c r="R18" s="286" cm="1">
        <f t="array" aca="1" ref="R18" ca="1">SUMPRODUCT(现金流量表!AN50:AN54,规则表!$B$10:$B$14)</f>
        <v>0</v>
      </c>
    </row>
    <row r="26" spans="1:19" ht="16.5">
      <c r="P26" s="287"/>
      <c r="Q26" s="287"/>
      <c r="R26" s="287"/>
      <c r="S26" s="287"/>
    </row>
    <row r="27" spans="1:19" ht="16.5">
      <c r="P27" s="287"/>
      <c r="Q27" s="287"/>
      <c r="R27" s="287"/>
      <c r="S27" s="287"/>
    </row>
    <row r="28" spans="1:19" ht="16.5">
      <c r="P28" s="287"/>
      <c r="Q28" s="287"/>
      <c r="R28" s="287"/>
      <c r="S28" s="287"/>
    </row>
    <row r="29" spans="1:19" ht="16.5">
      <c r="P29" s="287"/>
      <c r="Q29" s="287"/>
      <c r="R29" s="287"/>
      <c r="S29" s="287"/>
    </row>
    <row r="30" spans="1:19" ht="16.5">
      <c r="P30" s="287"/>
      <c r="Q30" s="287"/>
      <c r="R30" s="287"/>
      <c r="S30" s="287"/>
    </row>
  </sheetData>
  <sheetProtection formatCells="0" formatColumns="0" formatRows="0" insertColumns="0" insertRows="0" insertHyperlinks="0" deleteColumns="0" deleteRows="0" sort="0" autoFilter="0" pivotTables="0"/>
  <mergeCells count="8">
    <mergeCell ref="C1:F1"/>
    <mergeCell ref="G1:J1"/>
    <mergeCell ref="K1:N1"/>
    <mergeCell ref="O1:R1"/>
    <mergeCell ref="A18:B18"/>
    <mergeCell ref="A3:A7"/>
    <mergeCell ref="A8:A12"/>
    <mergeCell ref="A13:A17"/>
  </mergeCells>
  <phoneticPr fontId="3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04"/>
  <sheetViews>
    <sheetView topLeftCell="I6" workbookViewId="0">
      <selection activeCell="Q20" sqref="Q20"/>
    </sheetView>
  </sheetViews>
  <sheetFormatPr defaultColWidth="9" defaultRowHeight="13.5"/>
  <cols>
    <col min="2" max="2" width="14.125" style="64" customWidth="1"/>
    <col min="3" max="3" width="12.625" style="64" customWidth="1"/>
    <col min="4" max="5" width="11.5" style="64" customWidth="1"/>
    <col min="6" max="6" width="12.25" style="64" customWidth="1"/>
    <col min="7" max="7" width="14.125" style="64" customWidth="1"/>
    <col min="8" max="8" width="17.375" style="64" customWidth="1"/>
    <col min="9" max="9" width="15.125" style="64" customWidth="1"/>
    <col min="10" max="10" width="13.875" style="64" customWidth="1"/>
    <col min="11" max="11" width="16.25" style="119" customWidth="1"/>
    <col min="12" max="12" width="16.25" customWidth="1"/>
    <col min="13" max="13" width="10.5" customWidth="1"/>
    <col min="14" max="14" width="14.125" style="119" customWidth="1"/>
    <col min="15" max="15" width="12.625" customWidth="1"/>
    <col min="16" max="16" width="13.875" customWidth="1"/>
    <col min="17" max="18" width="15.875" customWidth="1"/>
    <col min="19" max="19" width="14.125" customWidth="1"/>
    <col min="20" max="20" width="18.5" customWidth="1"/>
    <col min="21" max="22" width="26.875" customWidth="1"/>
    <col min="23" max="23" width="11.75" customWidth="1"/>
    <col min="24" max="25" width="10.5" style="119" customWidth="1"/>
    <col min="26" max="26" width="14.125" style="119" customWidth="1"/>
    <col min="27" max="30" width="16.25" customWidth="1"/>
    <col min="31" max="31" width="14.125" customWidth="1"/>
    <col min="32" max="32" width="11.5" customWidth="1"/>
    <col min="33" max="33" width="14.125" customWidth="1"/>
    <col min="34" max="34" width="16.25" customWidth="1"/>
    <col min="35" max="53" width="14" customWidth="1"/>
    <col min="54" max="55" width="16.25" customWidth="1"/>
    <col min="56" max="57" width="24.125" customWidth="1"/>
  </cols>
  <sheetData>
    <row r="1" spans="1:44">
      <c r="A1" s="120"/>
      <c r="B1" s="121" t="s">
        <v>79</v>
      </c>
      <c r="C1" s="121" t="s">
        <v>83</v>
      </c>
      <c r="D1" s="121" t="s">
        <v>84</v>
      </c>
      <c r="E1" s="121" t="s">
        <v>85</v>
      </c>
      <c r="F1" s="121" t="s">
        <v>86</v>
      </c>
      <c r="G1" s="122" t="s">
        <v>97</v>
      </c>
      <c r="H1" s="123"/>
      <c r="N1" s="123" t="s">
        <v>80</v>
      </c>
      <c r="O1" s="123" t="s">
        <v>83</v>
      </c>
      <c r="P1" s="123" t="s">
        <v>84</v>
      </c>
      <c r="Q1" s="123" t="s">
        <v>85</v>
      </c>
      <c r="R1" s="123" t="s">
        <v>86</v>
      </c>
      <c r="S1" s="123" t="s">
        <v>97</v>
      </c>
      <c r="T1" s="123">
        <f ca="1">J14</f>
        <v>0</v>
      </c>
      <c r="U1" s="64"/>
      <c r="V1" s="64"/>
      <c r="X1" s="64"/>
      <c r="Y1" s="64"/>
      <c r="Z1" s="123" t="s">
        <v>81</v>
      </c>
      <c r="AA1" s="123" t="s">
        <v>83</v>
      </c>
      <c r="AB1" s="123" t="s">
        <v>84</v>
      </c>
      <c r="AC1" s="123" t="s">
        <v>85</v>
      </c>
      <c r="AD1" s="123" t="s">
        <v>86</v>
      </c>
      <c r="AE1" s="123" t="s">
        <v>97</v>
      </c>
      <c r="AF1" s="123">
        <f ca="1">V14</f>
        <v>6445499</v>
      </c>
      <c r="AG1" s="64"/>
      <c r="AH1" s="64"/>
      <c r="AI1" s="119"/>
      <c r="AJ1" s="123" t="s">
        <v>82</v>
      </c>
      <c r="AK1" s="123" t="s">
        <v>83</v>
      </c>
      <c r="AL1" s="123" t="s">
        <v>84</v>
      </c>
      <c r="AM1" s="123" t="s">
        <v>85</v>
      </c>
      <c r="AN1" s="123" t="s">
        <v>86</v>
      </c>
      <c r="AO1" s="123" t="s">
        <v>97</v>
      </c>
      <c r="AP1" s="123">
        <f ca="1">AH14</f>
        <v>0</v>
      </c>
      <c r="AQ1" s="64"/>
      <c r="AR1" s="64"/>
    </row>
    <row r="2" spans="1:44">
      <c r="A2" s="120"/>
      <c r="B2" s="121" t="s">
        <v>98</v>
      </c>
      <c r="C2" s="121">
        <f>规则表!$B$2</f>
        <v>1000000</v>
      </c>
      <c r="D2" s="121">
        <f ca="1">C46</f>
        <v>2379997</v>
      </c>
      <c r="E2" s="121">
        <f ca="1">D46</f>
        <v>2159997</v>
      </c>
      <c r="F2" s="121">
        <f ca="1">E46</f>
        <v>-966003</v>
      </c>
      <c r="G2" s="334" t="s">
        <v>99</v>
      </c>
      <c r="H2" s="328"/>
      <c r="I2" s="327" t="s">
        <v>100</v>
      </c>
      <c r="J2" s="328"/>
      <c r="N2" s="123" t="s">
        <v>98</v>
      </c>
      <c r="O2" s="123">
        <f ca="1">F46-T1</f>
        <v>-1086003</v>
      </c>
      <c r="P2" s="123">
        <f ca="1">O46</f>
        <v>11531547</v>
      </c>
      <c r="Q2" s="123">
        <f ca="1">P46</f>
        <v>11411547</v>
      </c>
      <c r="R2" s="123">
        <f ca="1">Q46</f>
        <v>26570547</v>
      </c>
      <c r="S2" s="327" t="s">
        <v>99</v>
      </c>
      <c r="T2" s="328"/>
      <c r="U2" s="327" t="s">
        <v>100</v>
      </c>
      <c r="V2" s="328"/>
      <c r="X2" s="64"/>
      <c r="Y2" s="64"/>
      <c r="Z2" s="123" t="s">
        <v>98</v>
      </c>
      <c r="AA2" s="123">
        <f ca="1">R46-AF1</f>
        <v>20005048</v>
      </c>
      <c r="AB2" s="123">
        <f t="shared" ref="AB2:AD2" ca="1" si="0">AA46</f>
        <v>19050643</v>
      </c>
      <c r="AC2" s="123">
        <f t="shared" ca="1" si="0"/>
        <v>18930643</v>
      </c>
      <c r="AD2" s="123">
        <f t="shared" ca="1" si="0"/>
        <v>18810643</v>
      </c>
      <c r="AE2" s="327" t="s">
        <v>99</v>
      </c>
      <c r="AF2" s="328"/>
      <c r="AG2" s="327" t="s">
        <v>100</v>
      </c>
      <c r="AH2" s="328"/>
      <c r="AI2" s="119"/>
      <c r="AJ2" s="123" t="s">
        <v>98</v>
      </c>
      <c r="AK2" s="123">
        <f ca="1">AD46-AP1</f>
        <v>18690643</v>
      </c>
      <c r="AL2" s="123">
        <f t="shared" ref="AL2:AN2" ca="1" si="1">AK46</f>
        <v>18570643</v>
      </c>
      <c r="AM2" s="123">
        <f t="shared" ca="1" si="1"/>
        <v>18450643</v>
      </c>
      <c r="AN2" s="123">
        <f t="shared" ca="1" si="1"/>
        <v>18330643</v>
      </c>
      <c r="AO2" s="327" t="s">
        <v>99</v>
      </c>
      <c r="AP2" s="328"/>
      <c r="AQ2" s="327" t="s">
        <v>100</v>
      </c>
      <c r="AR2" s="328"/>
    </row>
    <row r="3" spans="1:44" ht="15">
      <c r="A3" s="120"/>
      <c r="B3" s="125" t="s">
        <v>101</v>
      </c>
      <c r="C3" s="126"/>
      <c r="D3" s="126"/>
      <c r="E3" s="126"/>
      <c r="F3" s="126"/>
      <c r="G3" s="127" t="s">
        <v>102</v>
      </c>
      <c r="H3" s="38" t="s">
        <v>103</v>
      </c>
      <c r="I3" s="38" t="s">
        <v>102</v>
      </c>
      <c r="J3" s="38" t="s">
        <v>103</v>
      </c>
      <c r="K3" s="128"/>
      <c r="L3" s="50"/>
      <c r="M3" s="50"/>
      <c r="N3" s="129" t="s">
        <v>101</v>
      </c>
      <c r="O3" s="130"/>
      <c r="P3" s="130"/>
      <c r="Q3" s="130"/>
      <c r="R3" s="130"/>
      <c r="S3" s="38" t="s">
        <v>102</v>
      </c>
      <c r="T3" s="38" t="s">
        <v>103</v>
      </c>
      <c r="U3" s="38" t="s">
        <v>102</v>
      </c>
      <c r="V3" s="38" t="s">
        <v>103</v>
      </c>
      <c r="W3" s="50"/>
      <c r="X3" s="50"/>
      <c r="Y3" s="50"/>
      <c r="Z3" s="129" t="s">
        <v>101</v>
      </c>
      <c r="AA3" s="130"/>
      <c r="AB3" s="130"/>
      <c r="AC3" s="130"/>
      <c r="AD3" s="130"/>
      <c r="AE3" s="38" t="s">
        <v>102</v>
      </c>
      <c r="AF3" s="38" t="s">
        <v>103</v>
      </c>
      <c r="AG3" s="38" t="s">
        <v>102</v>
      </c>
      <c r="AH3" s="38" t="s">
        <v>103</v>
      </c>
      <c r="AI3" s="119"/>
      <c r="AJ3" s="131" t="s">
        <v>101</v>
      </c>
      <c r="AK3" s="132"/>
      <c r="AL3" s="132"/>
      <c r="AM3" s="132"/>
      <c r="AN3" s="132"/>
      <c r="AO3" s="123" t="s">
        <v>102</v>
      </c>
      <c r="AP3" s="123" t="s">
        <v>103</v>
      </c>
      <c r="AQ3" s="123" t="s">
        <v>102</v>
      </c>
      <c r="AR3" s="123" t="s">
        <v>103</v>
      </c>
    </row>
    <row r="4" spans="1:44" ht="16.5">
      <c r="A4" s="120"/>
      <c r="B4" s="133" t="s">
        <v>104</v>
      </c>
      <c r="C4" s="134">
        <f>生产建设!I53</f>
        <v>0</v>
      </c>
      <c r="D4" s="134">
        <f>生产建设!J53</f>
        <v>0</v>
      </c>
      <c r="E4" s="134">
        <f>生产建设!K53</f>
        <v>0</v>
      </c>
      <c r="F4" s="134">
        <f>生产建设!L53</f>
        <v>0</v>
      </c>
      <c r="G4" s="135" t="s">
        <v>3</v>
      </c>
      <c r="H4" s="136">
        <f>SUM(C15:F15)</f>
        <v>120000</v>
      </c>
      <c r="I4" s="136" t="s">
        <v>105</v>
      </c>
      <c r="J4" s="137">
        <f ca="1">SUM(C16:F17)</f>
        <v>0</v>
      </c>
      <c r="K4" s="346" t="s">
        <v>106</v>
      </c>
      <c r="L4" s="346"/>
      <c r="M4" s="346"/>
      <c r="N4" s="136" t="s">
        <v>104</v>
      </c>
      <c r="O4" s="138">
        <f>生产建设!M53</f>
        <v>0</v>
      </c>
      <c r="P4" s="138">
        <f>生产建设!N53</f>
        <v>0</v>
      </c>
      <c r="Q4" s="138">
        <f>生产建设!O53</f>
        <v>0</v>
      </c>
      <c r="R4" s="138">
        <f>生产建设!P53</f>
        <v>0</v>
      </c>
      <c r="S4" s="136" t="s">
        <v>3</v>
      </c>
      <c r="T4" s="136">
        <f>SUM(O15:R15)</f>
        <v>120000</v>
      </c>
      <c r="U4" s="136" t="s">
        <v>105</v>
      </c>
      <c r="V4" s="137">
        <f ca="1">SUM(O16:R17)+SUM(O22:R22)</f>
        <v>36570000</v>
      </c>
      <c r="W4" s="43"/>
      <c r="X4" s="43"/>
      <c r="Y4" s="43"/>
      <c r="Z4" s="136" t="s">
        <v>104</v>
      </c>
      <c r="AA4" s="138">
        <f>生产建设!Q53</f>
        <v>0</v>
      </c>
      <c r="AB4" s="138">
        <f>生产建设!R53</f>
        <v>0</v>
      </c>
      <c r="AC4" s="138">
        <f>生产建设!S53</f>
        <v>0</v>
      </c>
      <c r="AD4" s="138">
        <f>生产建设!T53</f>
        <v>0</v>
      </c>
      <c r="AE4" s="136" t="s">
        <v>3</v>
      </c>
      <c r="AF4" s="136">
        <f>SUM(AA15:AD15)</f>
        <v>120000</v>
      </c>
      <c r="AG4" s="136" t="s">
        <v>105</v>
      </c>
      <c r="AH4" s="138"/>
      <c r="AI4" s="119"/>
      <c r="AJ4" s="123" t="s">
        <v>104</v>
      </c>
      <c r="AK4" s="139">
        <f>生产建设!U53</f>
        <v>0</v>
      </c>
      <c r="AL4" s="139">
        <f>生产建设!V53</f>
        <v>0</v>
      </c>
      <c r="AM4" s="139">
        <f>生产建设!W53</f>
        <v>0</v>
      </c>
      <c r="AN4" s="139">
        <f>生产建设!X53</f>
        <v>0</v>
      </c>
      <c r="AO4" s="123" t="s">
        <v>3</v>
      </c>
      <c r="AP4" s="123">
        <f>SUM(AK15:AN15)</f>
        <v>120000</v>
      </c>
      <c r="AQ4" s="123" t="s">
        <v>105</v>
      </c>
      <c r="AR4" s="140"/>
    </row>
    <row r="5" spans="1:44" ht="16.5">
      <c r="A5" s="120"/>
      <c r="B5" s="133" t="s">
        <v>98</v>
      </c>
      <c r="C5" s="133">
        <f>C2-C3</f>
        <v>1000000</v>
      </c>
      <c r="D5" s="133">
        <f ca="1">D2-D3</f>
        <v>2379997</v>
      </c>
      <c r="E5" s="133">
        <f ca="1">E2-E3</f>
        <v>2159997</v>
      </c>
      <c r="F5" s="133">
        <f ca="1">F2-F3</f>
        <v>-966003</v>
      </c>
      <c r="G5" s="135" t="s">
        <v>107</v>
      </c>
      <c r="H5" s="136">
        <f>SUM(C43:F43)</f>
        <v>0</v>
      </c>
      <c r="I5" s="136" t="s">
        <v>108</v>
      </c>
      <c r="J5" s="138">
        <f ca="1">E26+F26+D31+E31+D36+E36</f>
        <v>3180000</v>
      </c>
      <c r="K5" s="347"/>
      <c r="L5" s="347"/>
      <c r="M5" s="347"/>
      <c r="N5" s="136" t="s">
        <v>98</v>
      </c>
      <c r="O5" s="136">
        <f ca="1">O2-O3</f>
        <v>-1086003</v>
      </c>
      <c r="P5" s="136">
        <f t="shared" ref="P5:R5" ca="1" si="2">P2-P3</f>
        <v>11531547</v>
      </c>
      <c r="Q5" s="136">
        <f t="shared" ca="1" si="2"/>
        <v>11411547</v>
      </c>
      <c r="R5" s="136">
        <f t="shared" ca="1" si="2"/>
        <v>26570547</v>
      </c>
      <c r="S5" s="136" t="s">
        <v>107</v>
      </c>
      <c r="T5" s="136">
        <f>SUM(O43:R43)</f>
        <v>0</v>
      </c>
      <c r="U5" s="136" t="s">
        <v>108</v>
      </c>
      <c r="V5" s="138">
        <f ca="1">SUM(O26:R26)+SUM(O31:Q31)+SUM(O36:Q36)+F31+F36</f>
        <v>6360000</v>
      </c>
      <c r="W5" s="43"/>
      <c r="X5" s="43"/>
      <c r="Y5" s="43"/>
      <c r="Z5" s="136" t="s">
        <v>98</v>
      </c>
      <c r="AA5" s="136">
        <f ca="1">AA2-AA3</f>
        <v>20005048</v>
      </c>
      <c r="AB5" s="136">
        <f t="shared" ref="AB5:AD5" ca="1" si="3">AB2-AB3</f>
        <v>19050643</v>
      </c>
      <c r="AC5" s="136">
        <f t="shared" ca="1" si="3"/>
        <v>18930643</v>
      </c>
      <c r="AD5" s="136">
        <f t="shared" ca="1" si="3"/>
        <v>18810643</v>
      </c>
      <c r="AE5" s="136" t="s">
        <v>107</v>
      </c>
      <c r="AF5" s="136">
        <f>SUM(AA43:AD43)</f>
        <v>0</v>
      </c>
      <c r="AG5" s="136" t="s">
        <v>108</v>
      </c>
      <c r="AH5" s="138"/>
      <c r="AI5" s="119"/>
      <c r="AJ5" s="123" t="s">
        <v>98</v>
      </c>
      <c r="AK5" s="123">
        <f ca="1">AK2-AK3</f>
        <v>18690643</v>
      </c>
      <c r="AL5" s="123">
        <f t="shared" ref="AL5:AN5" ca="1" si="4">AL2-AL3</f>
        <v>18570643</v>
      </c>
      <c r="AM5" s="123">
        <f t="shared" ca="1" si="4"/>
        <v>18450643</v>
      </c>
      <c r="AN5" s="123">
        <f t="shared" ca="1" si="4"/>
        <v>18330643</v>
      </c>
      <c r="AO5" s="123" t="s">
        <v>107</v>
      </c>
      <c r="AP5" s="123">
        <f>SUM(AK43:AN43)</f>
        <v>0</v>
      </c>
      <c r="AQ5" s="123" t="s">
        <v>108</v>
      </c>
      <c r="AR5" s="139"/>
    </row>
    <row r="6" spans="1:44" ht="16.5">
      <c r="A6" s="120"/>
      <c r="B6" s="329" t="s">
        <v>109</v>
      </c>
      <c r="C6" s="329"/>
      <c r="D6" s="329"/>
      <c r="E6" s="329"/>
      <c r="F6" s="329"/>
      <c r="G6" s="135" t="s">
        <v>110</v>
      </c>
      <c r="H6" s="136">
        <f>SUM(C37:F37)</f>
        <v>0</v>
      </c>
      <c r="I6" s="136" t="s">
        <v>111</v>
      </c>
      <c r="J6" s="136">
        <f ca="1">J4-J5</f>
        <v>-3180000</v>
      </c>
      <c r="K6" s="348"/>
      <c r="L6" s="348"/>
      <c r="M6" s="348"/>
      <c r="N6" s="330" t="s">
        <v>109</v>
      </c>
      <c r="O6" s="331"/>
      <c r="P6" s="331"/>
      <c r="Q6" s="331"/>
      <c r="R6" s="332"/>
      <c r="S6" s="136" t="s">
        <v>110</v>
      </c>
      <c r="T6" s="136">
        <f ca="1">SUM(O37:R37)</f>
        <v>0</v>
      </c>
      <c r="U6" s="136" t="s">
        <v>111</v>
      </c>
      <c r="V6" s="136">
        <f t="shared" ref="V6:V10" ca="1" si="5">V4-V5</f>
        <v>30210000</v>
      </c>
      <c r="W6" s="43"/>
      <c r="X6" s="43"/>
      <c r="Y6" s="43"/>
      <c r="Z6" s="333" t="s">
        <v>109</v>
      </c>
      <c r="AA6" s="333"/>
      <c r="AB6" s="333"/>
      <c r="AC6" s="333"/>
      <c r="AD6" s="333"/>
      <c r="AE6" s="136" t="s">
        <v>110</v>
      </c>
      <c r="AF6" s="136">
        <f>SUM(AA37:AD37)</f>
        <v>0</v>
      </c>
      <c r="AG6" s="136" t="s">
        <v>111</v>
      </c>
      <c r="AH6" s="136">
        <f>AH4-AH5</f>
        <v>0</v>
      </c>
      <c r="AI6" s="119"/>
      <c r="AJ6" s="327" t="s">
        <v>109</v>
      </c>
      <c r="AK6" s="334"/>
      <c r="AL6" s="334"/>
      <c r="AM6" s="334"/>
      <c r="AN6" s="328"/>
      <c r="AO6" s="123" t="s">
        <v>110</v>
      </c>
      <c r="AP6" s="123">
        <f>SUM(AK37:AN37)</f>
        <v>0</v>
      </c>
      <c r="AQ6" s="123" t="s">
        <v>111</v>
      </c>
      <c r="AR6" s="123">
        <f t="shared" ref="AR6:AR10" si="6">AR4-AR5</f>
        <v>0</v>
      </c>
    </row>
    <row r="7" spans="1:44" ht="16.5">
      <c r="A7" s="120"/>
      <c r="B7" s="133" t="s">
        <v>112</v>
      </c>
      <c r="C7" s="133"/>
      <c r="D7" s="133">
        <f>C12</f>
        <v>0</v>
      </c>
      <c r="E7" s="133">
        <f>D12</f>
        <v>0</v>
      </c>
      <c r="F7" s="133">
        <f>E12</f>
        <v>0</v>
      </c>
      <c r="G7" s="135" t="s">
        <v>113</v>
      </c>
      <c r="H7" s="136">
        <f>SUM(C35:F35)</f>
        <v>0</v>
      </c>
      <c r="I7" s="136" t="s">
        <v>114</v>
      </c>
      <c r="J7" s="136">
        <f ca="1">H20</f>
        <v>816003</v>
      </c>
      <c r="K7" s="142"/>
      <c r="L7" s="43"/>
      <c r="M7" s="43"/>
      <c r="N7" s="136" t="s">
        <v>112</v>
      </c>
      <c r="O7" s="136">
        <f>F12+C13</f>
        <v>3000000</v>
      </c>
      <c r="P7" s="136">
        <f>O12+D13</f>
        <v>0</v>
      </c>
      <c r="Q7" s="136">
        <f>P12+E13</f>
        <v>0</v>
      </c>
      <c r="R7" s="136">
        <f>Q12+F13</f>
        <v>0</v>
      </c>
      <c r="S7" s="136" t="s">
        <v>113</v>
      </c>
      <c r="T7" s="136">
        <f>SUM(O35:R35)</f>
        <v>0</v>
      </c>
      <c r="U7" s="136" t="s">
        <v>114</v>
      </c>
      <c r="V7" s="136">
        <f ca="1">T20</f>
        <v>132000</v>
      </c>
      <c r="W7" s="43"/>
      <c r="X7" s="43"/>
      <c r="Y7" s="43"/>
      <c r="Z7" s="136" t="s">
        <v>112</v>
      </c>
      <c r="AA7" s="136">
        <f>R12+O13</f>
        <v>758550</v>
      </c>
      <c r="AB7" s="136">
        <f>AA12+P13</f>
        <v>0</v>
      </c>
      <c r="AC7" s="136">
        <f>AB12+Q13</f>
        <v>0</v>
      </c>
      <c r="AD7" s="136">
        <f>AC12+R13</f>
        <v>0</v>
      </c>
      <c r="AE7" s="136" t="s">
        <v>113</v>
      </c>
      <c r="AF7" s="136">
        <f>SUM(AA35:AD35)</f>
        <v>0</v>
      </c>
      <c r="AG7" s="136" t="s">
        <v>114</v>
      </c>
      <c r="AH7" s="136">
        <f ca="1">AF20</f>
        <v>120000</v>
      </c>
      <c r="AI7" s="119"/>
      <c r="AJ7" s="123" t="s">
        <v>112</v>
      </c>
      <c r="AK7" s="123">
        <f>AD12+AA13</f>
        <v>0</v>
      </c>
      <c r="AL7" s="123">
        <f>AK12+AB13</f>
        <v>0</v>
      </c>
      <c r="AM7" s="123">
        <f>AL12+AC13</f>
        <v>0</v>
      </c>
      <c r="AN7" s="123">
        <f>AM12+AD13</f>
        <v>0</v>
      </c>
      <c r="AO7" s="123" t="s">
        <v>113</v>
      </c>
      <c r="AP7" s="123">
        <f>SUM(AK35:AN35)</f>
        <v>0</v>
      </c>
      <c r="AQ7" s="123" t="s">
        <v>114</v>
      </c>
      <c r="AR7" s="123">
        <f ca="1">AP20</f>
        <v>120000</v>
      </c>
    </row>
    <row r="8" spans="1:44" ht="16.5">
      <c r="A8" s="120"/>
      <c r="B8" s="133" t="s">
        <v>115</v>
      </c>
      <c r="C8" s="133"/>
      <c r="D8" s="133">
        <f>C12*规则表!$B$6</f>
        <v>0</v>
      </c>
      <c r="E8" s="133">
        <f>D12*规则表!$B$6</f>
        <v>0</v>
      </c>
      <c r="F8" s="133">
        <f>E12*规则表!$B$6</f>
        <v>0</v>
      </c>
      <c r="G8" s="135" t="s">
        <v>116</v>
      </c>
      <c r="H8" s="136">
        <f>SUM(C41:F41)</f>
        <v>240000</v>
      </c>
      <c r="I8" s="136" t="s">
        <v>117</v>
      </c>
      <c r="J8" s="136">
        <f ca="1">J6-J7</f>
        <v>-3996003</v>
      </c>
      <c r="K8" s="142"/>
      <c r="L8" s="43"/>
      <c r="M8" s="43"/>
      <c r="N8" s="136" t="s">
        <v>115</v>
      </c>
      <c r="O8" s="136">
        <f>F12*规则表!$B$6+C13*规则表!$B$7</f>
        <v>300000</v>
      </c>
      <c r="P8" s="136">
        <f>O12*规则表!$B$6+D13*规则表!$B$7</f>
        <v>0</v>
      </c>
      <c r="Q8" s="136">
        <f>P12*规则表!$B$6+E13*规则表!$B$7</f>
        <v>0</v>
      </c>
      <c r="R8" s="136">
        <f>Q12*规则表!$B$6+F13*规则表!$B$7</f>
        <v>0</v>
      </c>
      <c r="S8" s="136" t="s">
        <v>116</v>
      </c>
      <c r="T8" s="136">
        <f>SUM(O41:R41)</f>
        <v>0</v>
      </c>
      <c r="U8" s="136" t="s">
        <v>117</v>
      </c>
      <c r="V8" s="136">
        <f t="shared" ca="1" si="5"/>
        <v>30078000</v>
      </c>
      <c r="W8" s="43"/>
      <c r="X8" s="43"/>
      <c r="Y8" s="43"/>
      <c r="Z8" s="136" t="s">
        <v>115</v>
      </c>
      <c r="AA8" s="136">
        <f>R12*规则表!$B$6+O13*规则表!$B$7</f>
        <v>75855</v>
      </c>
      <c r="AB8" s="136">
        <f>AA12*规则表!B6+P13*规则表!B7</f>
        <v>0</v>
      </c>
      <c r="AC8" s="136">
        <f>AB12*规则表!B6+Q13*规则表!B7</f>
        <v>0</v>
      </c>
      <c r="AD8" s="136">
        <f>AC12*规则表!B6+R13*规则表!B7</f>
        <v>0</v>
      </c>
      <c r="AE8" s="136" t="s">
        <v>116</v>
      </c>
      <c r="AF8" s="136">
        <f>SUM(AA41:AD41)</f>
        <v>0</v>
      </c>
      <c r="AG8" s="136" t="s">
        <v>117</v>
      </c>
      <c r="AH8" s="136">
        <f t="shared" ref="AH8:AH10" ca="1" si="7">AH6-AH7</f>
        <v>-120000</v>
      </c>
      <c r="AI8" s="119"/>
      <c r="AJ8" s="123" t="s">
        <v>115</v>
      </c>
      <c r="AK8" s="123">
        <f>AD12*规则表!B6+AA13*规则表!B7</f>
        <v>0</v>
      </c>
      <c r="AL8" s="123">
        <f>AK12*规则表!B6+AB13*规则表!B7</f>
        <v>0</v>
      </c>
      <c r="AM8" s="123">
        <f>AL12*规则表!B6+AC13*规则表!B7</f>
        <v>0</v>
      </c>
      <c r="AN8" s="123">
        <f>AM12*规则表!B6+AD13*规则表!B7</f>
        <v>0</v>
      </c>
      <c r="AO8" s="123" t="s">
        <v>116</v>
      </c>
      <c r="AP8" s="123">
        <f>SUM(AK41:AN41)</f>
        <v>0</v>
      </c>
      <c r="AQ8" s="123" t="s">
        <v>117</v>
      </c>
      <c r="AR8" s="123">
        <f t="shared" ca="1" si="6"/>
        <v>-120000</v>
      </c>
    </row>
    <row r="9" spans="1:44" ht="16.5">
      <c r="A9" s="120"/>
      <c r="B9" s="133" t="s">
        <v>118</v>
      </c>
      <c r="C9" s="134"/>
      <c r="D9" s="134"/>
      <c r="E9" s="134"/>
      <c r="F9" s="134"/>
      <c r="G9" s="135" t="s">
        <v>119</v>
      </c>
      <c r="H9" s="136">
        <f>SUM(C40:F40)</f>
        <v>210000</v>
      </c>
      <c r="I9" s="136" t="s">
        <v>104</v>
      </c>
      <c r="J9" s="136">
        <f>SUM(C4:F4)</f>
        <v>0</v>
      </c>
      <c r="K9" s="142"/>
      <c r="L9" s="43"/>
      <c r="M9" s="43"/>
      <c r="N9" s="136" t="s">
        <v>118</v>
      </c>
      <c r="O9" s="138"/>
      <c r="P9" s="138"/>
      <c r="Q9" s="138"/>
      <c r="R9" s="138"/>
      <c r="S9" s="136" t="s">
        <v>119</v>
      </c>
      <c r="T9" s="136">
        <f>SUM(O40:R40)</f>
        <v>0</v>
      </c>
      <c r="U9" s="136" t="s">
        <v>104</v>
      </c>
      <c r="V9" s="136">
        <f>SUM(O4:R4)</f>
        <v>0</v>
      </c>
      <c r="W9" s="43"/>
      <c r="X9" s="43"/>
      <c r="Y9" s="43"/>
      <c r="Z9" s="136" t="s">
        <v>118</v>
      </c>
      <c r="AA9" s="138"/>
      <c r="AB9" s="138"/>
      <c r="AC9" s="138"/>
      <c r="AD9" s="138"/>
      <c r="AE9" s="136" t="s">
        <v>119</v>
      </c>
      <c r="AF9" s="136">
        <f>SUM(AA40:AD40)</f>
        <v>0</v>
      </c>
      <c r="AG9" s="136" t="s">
        <v>104</v>
      </c>
      <c r="AH9" s="136">
        <f>SUM(AA4:AD4)</f>
        <v>0</v>
      </c>
      <c r="AI9" s="119"/>
      <c r="AJ9" s="123" t="s">
        <v>118</v>
      </c>
      <c r="AK9" s="139"/>
      <c r="AL9" s="139"/>
      <c r="AM9" s="139"/>
      <c r="AN9" s="139"/>
      <c r="AO9" s="123" t="s">
        <v>119</v>
      </c>
      <c r="AP9" s="123">
        <f>SUM(AK40:AN40)</f>
        <v>0</v>
      </c>
      <c r="AQ9" s="123" t="s">
        <v>104</v>
      </c>
      <c r="AR9" s="123">
        <f>SUM(AK4:AN4)</f>
        <v>0</v>
      </c>
    </row>
    <row r="10" spans="1:44" ht="16.5">
      <c r="A10" s="120"/>
      <c r="B10" s="133" t="s">
        <v>120</v>
      </c>
      <c r="C10" s="134"/>
      <c r="D10" s="134"/>
      <c r="E10" s="134"/>
      <c r="F10" s="134"/>
      <c r="G10" s="135" t="s">
        <v>121</v>
      </c>
      <c r="H10" s="136">
        <f>SUM(C42:F42)</f>
        <v>240003</v>
      </c>
      <c r="I10" s="136" t="s">
        <v>122</v>
      </c>
      <c r="J10" s="136">
        <f ca="1">J8-J9</f>
        <v>-3996003</v>
      </c>
      <c r="K10" s="142"/>
      <c r="L10" s="43"/>
      <c r="M10" s="43"/>
      <c r="N10" s="136" t="s">
        <v>120</v>
      </c>
      <c r="O10" s="138"/>
      <c r="P10" s="138"/>
      <c r="Q10" s="138"/>
      <c r="R10" s="138"/>
      <c r="S10" s="136" t="s">
        <v>121</v>
      </c>
      <c r="T10" s="136">
        <f>SUM(O42:R42)</f>
        <v>0</v>
      </c>
      <c r="U10" s="136" t="s">
        <v>122</v>
      </c>
      <c r="V10" s="136">
        <f t="shared" ca="1" si="5"/>
        <v>30078000</v>
      </c>
      <c r="W10" s="43"/>
      <c r="X10" s="43"/>
      <c r="Y10" s="43"/>
      <c r="Z10" s="136" t="s">
        <v>120</v>
      </c>
      <c r="AA10" s="138"/>
      <c r="AB10" s="138"/>
      <c r="AC10" s="138"/>
      <c r="AD10" s="138"/>
      <c r="AE10" s="136" t="s">
        <v>121</v>
      </c>
      <c r="AF10" s="136">
        <f>SUM(AA42:AD42)</f>
        <v>0</v>
      </c>
      <c r="AG10" s="136" t="s">
        <v>122</v>
      </c>
      <c r="AH10" s="136">
        <f t="shared" ca="1" si="7"/>
        <v>-120000</v>
      </c>
      <c r="AI10" s="119"/>
      <c r="AJ10" s="123" t="s">
        <v>120</v>
      </c>
      <c r="AK10" s="139"/>
      <c r="AL10" s="139"/>
      <c r="AM10" s="139"/>
      <c r="AN10" s="139"/>
      <c r="AO10" s="123" t="s">
        <v>121</v>
      </c>
      <c r="AP10" s="123">
        <f>SUM(AK42:AN42)</f>
        <v>0</v>
      </c>
      <c r="AQ10" s="123" t="s">
        <v>122</v>
      </c>
      <c r="AR10" s="123">
        <f t="shared" ca="1" si="6"/>
        <v>-120000</v>
      </c>
    </row>
    <row r="11" spans="1:44" ht="16.5">
      <c r="A11" s="120"/>
      <c r="B11" s="133" t="s">
        <v>123</v>
      </c>
      <c r="C11" s="133">
        <f>规则表!$B$2*规则表!$B$3-SUM(C12:C14)</f>
        <v>0</v>
      </c>
      <c r="D11" s="133">
        <f>C11+D7+D9-SUM(D12:D14)</f>
        <v>0</v>
      </c>
      <c r="E11" s="133">
        <f>D11+E7+E9-SUM(E12:E14)</f>
        <v>0</v>
      </c>
      <c r="F11" s="133">
        <f>E11+F7+F9-SUM(F12:F14)</f>
        <v>0</v>
      </c>
      <c r="G11" s="135" t="s">
        <v>124</v>
      </c>
      <c r="H11" s="136">
        <f>SUM(C20:F20)</f>
        <v>0</v>
      </c>
      <c r="I11" s="136" t="s">
        <v>125</v>
      </c>
      <c r="J11" s="136">
        <f>SUM(C8:F8)+SUM(C10:F10)+SUM(C18:F18)</f>
        <v>0</v>
      </c>
      <c r="K11" s="142"/>
      <c r="L11" s="43"/>
      <c r="M11" s="43"/>
      <c r="N11" s="136" t="s">
        <v>123</v>
      </c>
      <c r="O11" s="136">
        <f ca="1">J19*规则表!$B$3+O7+O9-SUM(O12:O14)-SUM(C13:F13)-F12-SUM(C14:F14)</f>
        <v>-9746559</v>
      </c>
      <c r="P11" s="136">
        <f ca="1">O11+P7+P9-SUM(P12:P14)</f>
        <v>-9746559</v>
      </c>
      <c r="Q11" s="136">
        <f t="shared" ref="Q11:R11" ca="1" si="8">P11+Q7+Q9-SUM(Q12:Q14)</f>
        <v>-9746559</v>
      </c>
      <c r="R11" s="136">
        <f t="shared" ca="1" si="8"/>
        <v>-9746559</v>
      </c>
      <c r="S11" s="136" t="s">
        <v>124</v>
      </c>
      <c r="T11" s="136">
        <f>SUM(O20:R20)</f>
        <v>0</v>
      </c>
      <c r="U11" s="136" t="s">
        <v>125</v>
      </c>
      <c r="V11" s="136">
        <f>SUM(O8:R8)+SUM(O10:R10)+SUM(O18:R18)</f>
        <v>300000</v>
      </c>
      <c r="W11" s="43"/>
      <c r="X11" s="43"/>
      <c r="Y11" s="43"/>
      <c r="Z11" s="136" t="s">
        <v>123</v>
      </c>
      <c r="AA11" s="136">
        <f ca="1">V19*规则表!B3+AA7+AA9-SUM(AA12:AA14)-SUM(O13:R13)-R12-SUM(O14:R14)</f>
        <v>61009494</v>
      </c>
      <c r="AB11" s="136">
        <f ca="1">AA11+AB7+AB9-SUM(AB12:AB14)</f>
        <v>61009494</v>
      </c>
      <c r="AC11" s="136">
        <f ca="1">AB11+AC7+AC9-SUM(AC12:AC14)</f>
        <v>61009494</v>
      </c>
      <c r="AD11" s="136">
        <f ca="1">AC11+AD7+AD9-SUM(AD12:AD14)</f>
        <v>61009494</v>
      </c>
      <c r="AE11" s="136" t="s">
        <v>124</v>
      </c>
      <c r="AF11" s="136">
        <f>SUM(AA20:AD20)</f>
        <v>0</v>
      </c>
      <c r="AG11" s="136" t="s">
        <v>125</v>
      </c>
      <c r="AH11" s="136">
        <f>SUM(AA8:AD8)+SUM(AA10:AD10)+SUM(AA18:AD18)</f>
        <v>75855</v>
      </c>
      <c r="AI11" s="119"/>
      <c r="AJ11" s="123" t="s">
        <v>123</v>
      </c>
      <c r="AK11" s="123">
        <f ca="1">AH19*规则表!B3+AK7+AK9-SUM(AK12:AK14)-SUM(AA13:AD13)-AD12-SUM(AA14:AD14)</f>
        <v>60421929</v>
      </c>
      <c r="AL11" s="123">
        <f ca="1">AK11+AL7+AL9-SUM(AL12:AL14)</f>
        <v>60421929</v>
      </c>
      <c r="AM11" s="123">
        <f t="shared" ref="AM11:AN11" ca="1" si="9">AL11+AM7+AM9-SUM(AM12:AM14)</f>
        <v>60421929</v>
      </c>
      <c r="AN11" s="123">
        <f t="shared" ca="1" si="9"/>
        <v>60421929</v>
      </c>
      <c r="AO11" s="123" t="s">
        <v>124</v>
      </c>
      <c r="AP11" s="123">
        <f>SUM(AK20:AN20)</f>
        <v>0</v>
      </c>
      <c r="AQ11" s="123" t="s">
        <v>125</v>
      </c>
      <c r="AR11" s="123">
        <f>SUM(AK8:AN8)+SUM(AK10:AN10)+SUM(AK18:AN18)</f>
        <v>0</v>
      </c>
    </row>
    <row r="12" spans="1:44" ht="16.5">
      <c r="A12" s="120"/>
      <c r="B12" s="133" t="s">
        <v>6</v>
      </c>
      <c r="C12" s="134"/>
      <c r="D12" s="134"/>
      <c r="E12" s="134"/>
      <c r="F12" s="134"/>
      <c r="G12" s="135" t="s">
        <v>126</v>
      </c>
      <c r="H12" s="136">
        <f>SUM(C33:F33)</f>
        <v>0</v>
      </c>
      <c r="I12" s="136" t="s">
        <v>127</v>
      </c>
      <c r="J12" s="138"/>
      <c r="K12" s="351" t="s">
        <v>128</v>
      </c>
      <c r="L12" s="351"/>
      <c r="M12" s="351"/>
      <c r="N12" s="136" t="s">
        <v>6</v>
      </c>
      <c r="O12" s="138"/>
      <c r="P12" s="138"/>
      <c r="Q12" s="138"/>
      <c r="R12" s="138"/>
      <c r="S12" s="136" t="s">
        <v>126</v>
      </c>
      <c r="T12" s="136">
        <f>SUM(O33:R33)</f>
        <v>0</v>
      </c>
      <c r="U12" s="136" t="s">
        <v>129</v>
      </c>
      <c r="V12" s="138"/>
      <c r="W12" s="43"/>
      <c r="X12" s="43"/>
      <c r="Y12" s="43"/>
      <c r="Z12" s="136" t="s">
        <v>6</v>
      </c>
      <c r="AA12" s="138"/>
      <c r="AB12" s="138"/>
      <c r="AC12" s="138"/>
      <c r="AD12" s="138"/>
      <c r="AE12" s="136" t="s">
        <v>126</v>
      </c>
      <c r="AF12" s="136">
        <f>SUM(AA33:AD33)</f>
        <v>0</v>
      </c>
      <c r="AG12" s="136" t="s">
        <v>129</v>
      </c>
      <c r="AH12" s="138"/>
      <c r="AI12" s="119"/>
      <c r="AJ12" s="123" t="s">
        <v>6</v>
      </c>
      <c r="AK12" s="139"/>
      <c r="AL12" s="139"/>
      <c r="AM12" s="139"/>
      <c r="AN12" s="139"/>
      <c r="AO12" s="123" t="s">
        <v>126</v>
      </c>
      <c r="AP12" s="123">
        <f>SUM(AK33:AN33)</f>
        <v>0</v>
      </c>
      <c r="AQ12" s="123" t="s">
        <v>129</v>
      </c>
      <c r="AR12" s="139"/>
    </row>
    <row r="13" spans="1:44" ht="16.5">
      <c r="A13" s="120"/>
      <c r="B13" s="133" t="s">
        <v>7</v>
      </c>
      <c r="C13" s="134">
        <v>3000000</v>
      </c>
      <c r="D13" s="134"/>
      <c r="E13" s="143"/>
      <c r="F13" s="143"/>
      <c r="G13" s="135" t="s">
        <v>130</v>
      </c>
      <c r="H13" s="136">
        <f>SUM(C28:F28)</f>
        <v>0</v>
      </c>
      <c r="I13" s="136" t="s">
        <v>131</v>
      </c>
      <c r="J13" s="136">
        <f ca="1">J10-J11-J12</f>
        <v>-3996003</v>
      </c>
      <c r="K13" s="142"/>
      <c r="L13" s="43"/>
      <c r="M13" s="43"/>
      <c r="N13" s="136" t="s">
        <v>7</v>
      </c>
      <c r="O13" s="138">
        <v>758550</v>
      </c>
      <c r="P13" s="138"/>
      <c r="Q13" s="138"/>
      <c r="R13" s="138"/>
      <c r="S13" s="136" t="s">
        <v>130</v>
      </c>
      <c r="T13" s="136">
        <f>SUM(O28:R28)</f>
        <v>0</v>
      </c>
      <c r="U13" s="136" t="s">
        <v>131</v>
      </c>
      <c r="V13" s="136">
        <f ca="1">V10-V11-V12</f>
        <v>29778000</v>
      </c>
      <c r="W13" s="43"/>
      <c r="X13" s="43"/>
      <c r="Y13" s="43"/>
      <c r="Z13" s="136" t="s">
        <v>7</v>
      </c>
      <c r="AA13" s="138"/>
      <c r="AB13" s="138"/>
      <c r="AC13" s="138"/>
      <c r="AD13" s="138"/>
      <c r="AE13" s="136" t="s">
        <v>130</v>
      </c>
      <c r="AF13" s="136">
        <f>SUM(AA28:AD28)</f>
        <v>0</v>
      </c>
      <c r="AG13" s="136" t="s">
        <v>131</v>
      </c>
      <c r="AH13" s="136">
        <f ca="1">AH10-AH11-AH12</f>
        <v>-195855</v>
      </c>
      <c r="AI13" s="119"/>
      <c r="AJ13" s="123" t="s">
        <v>7</v>
      </c>
      <c r="AL13" s="139"/>
      <c r="AM13" s="139"/>
      <c r="AN13" s="139"/>
      <c r="AO13" s="123" t="s">
        <v>130</v>
      </c>
      <c r="AP13" s="123">
        <f>SUM(AK28:AN28)</f>
        <v>0</v>
      </c>
      <c r="AQ13" s="123" t="s">
        <v>131</v>
      </c>
      <c r="AR13" s="123">
        <f ca="1">AR10-AR11-AR12</f>
        <v>-120000</v>
      </c>
    </row>
    <row r="14" spans="1:44" ht="16.5">
      <c r="A14" s="120"/>
      <c r="B14" s="133" t="s">
        <v>8</v>
      </c>
      <c r="C14" s="134"/>
      <c r="D14" s="134"/>
      <c r="E14" s="134"/>
      <c r="F14" s="134"/>
      <c r="G14" s="135" t="s">
        <v>132</v>
      </c>
      <c r="H14" s="136">
        <f>SUM(C24:F24)</f>
        <v>0</v>
      </c>
      <c r="I14" s="136" t="s">
        <v>133</v>
      </c>
      <c r="J14" s="136">
        <f ca="1">ROUND(IF(J17&gt;0,IF(J13&gt;0,J13/4,0),IF(J13+J17&gt;0,(J13+J17)/4,0)),0)</f>
        <v>0</v>
      </c>
      <c r="K14" s="142"/>
      <c r="L14" s="43"/>
      <c r="M14" s="43"/>
      <c r="N14" s="136" t="s">
        <v>8</v>
      </c>
      <c r="O14" s="138"/>
      <c r="P14" s="138"/>
      <c r="Q14" s="138"/>
      <c r="R14" s="138"/>
      <c r="S14" s="136" t="s">
        <v>132</v>
      </c>
      <c r="T14" s="136">
        <f>SUM(O24:R24)</f>
        <v>0</v>
      </c>
      <c r="U14" s="136" t="s">
        <v>133</v>
      </c>
      <c r="V14" s="136">
        <f ca="1">ROUND(IF(V17&gt;0,IF(V13&gt;0,V13/4,0),IF(V13+V17&gt;0,(V13+V17)/4,0)),0)</f>
        <v>6445499</v>
      </c>
      <c r="W14" s="43"/>
      <c r="X14" s="43"/>
      <c r="Y14" s="43"/>
      <c r="Z14" s="136" t="s">
        <v>8</v>
      </c>
      <c r="AA14" s="138"/>
      <c r="AB14" s="138"/>
      <c r="AC14" s="138"/>
      <c r="AD14" s="138"/>
      <c r="AE14" s="136" t="s">
        <v>132</v>
      </c>
      <c r="AF14" s="136">
        <f>SUM(AA24:AD24)</f>
        <v>0</v>
      </c>
      <c r="AG14" s="136" t="s">
        <v>133</v>
      </c>
      <c r="AH14" s="136">
        <f ca="1">ROUND(IF(AH17&gt;0,IF(AH13&gt;0,AH13/4,0),IF(AH13+AH17&gt;0,(AH13+AH17)/4,0)),0)</f>
        <v>0</v>
      </c>
      <c r="AI14" s="119"/>
      <c r="AJ14" s="123" t="s">
        <v>8</v>
      </c>
      <c r="AK14" s="139"/>
      <c r="AL14" s="139"/>
      <c r="AM14" s="139"/>
      <c r="AN14" s="139"/>
      <c r="AO14" s="123" t="s">
        <v>132</v>
      </c>
      <c r="AP14" s="123">
        <f>SUM(AK24:AN24)</f>
        <v>0</v>
      </c>
      <c r="AQ14" s="123" t="s">
        <v>133</v>
      </c>
      <c r="AR14" s="123">
        <f ca="1">ROUND(IF(AR17&gt;0,IF(AR13&gt;0,AR13/4,0),IF(AR13+AR17&gt;0,(AR13+AR17)/4,0)),0)</f>
        <v>0</v>
      </c>
    </row>
    <row r="15" spans="1:44" ht="16.5">
      <c r="A15" s="120"/>
      <c r="B15" s="133" t="s">
        <v>134</v>
      </c>
      <c r="C15" s="133">
        <f>规则表!$B$4*3</f>
        <v>30000</v>
      </c>
      <c r="D15" s="133">
        <f>规则表!$B$4*3</f>
        <v>30000</v>
      </c>
      <c r="E15" s="133">
        <f>规则表!$B$4*3</f>
        <v>30000</v>
      </c>
      <c r="F15" s="133">
        <f>规则表!$B$4*3</f>
        <v>30000</v>
      </c>
      <c r="G15" s="135" t="s">
        <v>135</v>
      </c>
      <c r="H15" s="136">
        <f ca="1">SUM(C25:F25)</f>
        <v>6000</v>
      </c>
      <c r="I15" s="136" t="s">
        <v>136</v>
      </c>
      <c r="J15" s="136">
        <f ca="1">J13-J14</f>
        <v>-3996003</v>
      </c>
      <c r="N15" s="136" t="s">
        <v>134</v>
      </c>
      <c r="O15" s="136">
        <f>规则表!$B$4*3</f>
        <v>30000</v>
      </c>
      <c r="P15" s="136">
        <f>规则表!$B$4*3</f>
        <v>30000</v>
      </c>
      <c r="Q15" s="136">
        <f>规则表!$B$4*3</f>
        <v>30000</v>
      </c>
      <c r="R15" s="136">
        <f>规则表!$B$4*3</f>
        <v>30000</v>
      </c>
      <c r="S15" s="136" t="s">
        <v>135</v>
      </c>
      <c r="T15" s="136">
        <f ca="1">SUM(O25:R25)</f>
        <v>12000</v>
      </c>
      <c r="U15" s="136" t="s">
        <v>136</v>
      </c>
      <c r="V15" s="136">
        <f ca="1">V13-V14</f>
        <v>23332501</v>
      </c>
      <c r="W15" s="43"/>
      <c r="X15" s="43"/>
      <c r="Y15" s="43"/>
      <c r="Z15" s="136" t="s">
        <v>134</v>
      </c>
      <c r="AA15" s="136">
        <f>规则表!$B$4*3</f>
        <v>30000</v>
      </c>
      <c r="AB15" s="136">
        <f>规则表!$B$4*3</f>
        <v>30000</v>
      </c>
      <c r="AC15" s="136">
        <f>规则表!$B$4*3</f>
        <v>30000</v>
      </c>
      <c r="AD15" s="136">
        <f>规则表!$B$4*3</f>
        <v>30000</v>
      </c>
      <c r="AE15" s="136" t="s">
        <v>135</v>
      </c>
      <c r="AF15" s="136">
        <f ca="1">SUM(AA25:AD25)</f>
        <v>0</v>
      </c>
      <c r="AG15" s="136" t="s">
        <v>136</v>
      </c>
      <c r="AH15" s="136">
        <f ca="1">AH13-AH14</f>
        <v>-195855</v>
      </c>
      <c r="AI15" s="119"/>
      <c r="AJ15" s="123" t="s">
        <v>134</v>
      </c>
      <c r="AK15" s="123">
        <f>规则表!$B$4*3</f>
        <v>30000</v>
      </c>
      <c r="AL15" s="123">
        <f>规则表!$B$4*3</f>
        <v>30000</v>
      </c>
      <c r="AM15" s="123">
        <f>规则表!$B$4*3</f>
        <v>30000</v>
      </c>
      <c r="AN15" s="123">
        <f>规则表!$B$4*3</f>
        <v>30000</v>
      </c>
      <c r="AO15" s="123" t="s">
        <v>135</v>
      </c>
      <c r="AP15" s="123">
        <f ca="1">SUM(AK25:AN25)</f>
        <v>0</v>
      </c>
      <c r="AQ15" s="123" t="s">
        <v>136</v>
      </c>
      <c r="AR15" s="123">
        <f ca="1">AR13-AR14</f>
        <v>-120000</v>
      </c>
    </row>
    <row r="16" spans="1:44" ht="16.5">
      <c r="A16" s="120"/>
      <c r="B16" s="133" t="s">
        <v>137</v>
      </c>
      <c r="C16" s="144">
        <f ca="1">订单贴现表!C8</f>
        <v>0</v>
      </c>
      <c r="D16" s="144">
        <f ca="1">订单贴现表!D8</f>
        <v>0</v>
      </c>
      <c r="E16" s="144">
        <f ca="1">订单贴现表!E8</f>
        <v>0</v>
      </c>
      <c r="F16" s="144">
        <f ca="1">订单贴现表!F8</f>
        <v>0</v>
      </c>
      <c r="G16" s="135" t="s">
        <v>138</v>
      </c>
      <c r="H16" s="136">
        <f>SUM(C27:F27)</f>
        <v>0</v>
      </c>
      <c r="I16" s="136" t="s">
        <v>1</v>
      </c>
      <c r="J16" s="136">
        <f>规则表!$B$2</f>
        <v>1000000</v>
      </c>
      <c r="N16" s="136" t="s">
        <v>137</v>
      </c>
      <c r="O16" s="145">
        <f ca="1">订单贴现表!G8</f>
        <v>0</v>
      </c>
      <c r="P16" s="145">
        <f ca="1">订单贴现表!H8</f>
        <v>0</v>
      </c>
      <c r="Q16" s="145">
        <f ca="1">订单贴现表!I8</f>
        <v>0</v>
      </c>
      <c r="R16" s="145">
        <f ca="1">订单贴现表!J8</f>
        <v>0</v>
      </c>
      <c r="S16" s="136" t="s">
        <v>138</v>
      </c>
      <c r="T16" s="136">
        <f>SUM(O27:R27)</f>
        <v>0</v>
      </c>
      <c r="U16" s="136" t="s">
        <v>1</v>
      </c>
      <c r="V16" s="136">
        <f>规则表!$B$2</f>
        <v>1000000</v>
      </c>
      <c r="W16" s="43"/>
      <c r="X16" s="43"/>
      <c r="Y16" s="43"/>
      <c r="Z16" s="136" t="s">
        <v>137</v>
      </c>
      <c r="AA16" s="145">
        <f ca="1">订单贴现表!K8</f>
        <v>0</v>
      </c>
      <c r="AB16" s="145">
        <f ca="1">订单贴现表!L8</f>
        <v>0</v>
      </c>
      <c r="AC16" s="145">
        <f ca="1">订单贴现表!M8</f>
        <v>0</v>
      </c>
      <c r="AD16" s="145">
        <f ca="1">订单贴现表!N8</f>
        <v>0</v>
      </c>
      <c r="AE16" s="136" t="s">
        <v>138</v>
      </c>
      <c r="AF16" s="136">
        <f>SUM(AA27:AD27)</f>
        <v>0</v>
      </c>
      <c r="AG16" s="136" t="s">
        <v>1</v>
      </c>
      <c r="AH16" s="136">
        <f>规则表!B2</f>
        <v>1000000</v>
      </c>
      <c r="AI16" s="119"/>
      <c r="AJ16" s="123" t="s">
        <v>137</v>
      </c>
      <c r="AK16" s="146">
        <f ca="1">订单贴现表!O8</f>
        <v>0</v>
      </c>
      <c r="AL16" s="146">
        <f ca="1">订单贴现表!P8</f>
        <v>0</v>
      </c>
      <c r="AM16" s="146">
        <f ca="1">订单贴现表!Q8</f>
        <v>0</v>
      </c>
      <c r="AN16" s="146">
        <f ca="1">订单贴现表!R8</f>
        <v>0</v>
      </c>
      <c r="AO16" s="123" t="s">
        <v>138</v>
      </c>
      <c r="AP16" s="123">
        <f>SUM(AK27:AN27)</f>
        <v>0</v>
      </c>
      <c r="AQ16" s="123" t="s">
        <v>1</v>
      </c>
      <c r="AR16" s="123">
        <f>规则表!B2</f>
        <v>1000000</v>
      </c>
    </row>
    <row r="17" spans="1:44" ht="16.5">
      <c r="A17" s="120"/>
      <c r="B17" s="133" t="s">
        <v>9</v>
      </c>
      <c r="C17" s="147"/>
      <c r="D17" s="147"/>
      <c r="E17" s="147" cm="1">
        <f t="array" aca="1" ref="E17" ca="1">SUMPRODUCT(材料表!F34:F38,$H$27:$H$31)</f>
        <v>0</v>
      </c>
      <c r="F17" s="147" cm="1">
        <f t="array" aca="1" ref="F17" ca="1">SUMPRODUCT(材料表!G34:G38,$H$27:$H$31)</f>
        <v>0</v>
      </c>
      <c r="G17" s="135" t="s">
        <v>139</v>
      </c>
      <c r="H17" s="136">
        <f>SUM(C34:F34)</f>
        <v>0</v>
      </c>
      <c r="I17" s="136" t="s">
        <v>140</v>
      </c>
      <c r="J17" s="136">
        <v>0</v>
      </c>
      <c r="N17" s="136" t="s">
        <v>9</v>
      </c>
      <c r="O17" s="148">
        <f ca="1">材料表!H34*$U$27+材料表!H35*$U$28+材料表!H36*$U$29+材料表!H37*$U$30+材料表!H38*$U$31</f>
        <v>18285000</v>
      </c>
      <c r="P17" s="148">
        <f ca="1">材料表!I34*$U$27+材料表!I35*$U$28+材料表!I36*$U$29+材料表!I37*$U$30+材料表!I38*$U$31</f>
        <v>0</v>
      </c>
      <c r="Q17" s="148">
        <f ca="1">材料表!J34*$U$27+材料表!J35*$U$28+材料表!J36*$U$29+材料表!J37*$U$30+材料表!J38*$U$31</f>
        <v>18285000</v>
      </c>
      <c r="R17" s="148">
        <f ca="1">材料表!K34*$U$27+材料表!K35*$U$28+材料表!K36*$U$29+材料表!K37*$U$30+材料表!K38*$U$31</f>
        <v>0</v>
      </c>
      <c r="S17" s="136" t="s">
        <v>139</v>
      </c>
      <c r="T17" s="136">
        <f>SUM(O34:R34)</f>
        <v>0</v>
      </c>
      <c r="U17" s="136" t="s">
        <v>140</v>
      </c>
      <c r="V17" s="136">
        <f ca="1">J18</f>
        <v>-3996003</v>
      </c>
      <c r="W17" s="43"/>
      <c r="X17" s="43"/>
      <c r="Y17" s="43"/>
      <c r="Z17" s="136" t="s">
        <v>9</v>
      </c>
      <c r="AA17" s="138"/>
      <c r="AB17" s="138"/>
      <c r="AC17" s="138"/>
      <c r="AD17" s="138"/>
      <c r="AE17" s="136" t="s">
        <v>139</v>
      </c>
      <c r="AF17" s="136">
        <f>SUM(AA34:AD34)</f>
        <v>0</v>
      </c>
      <c r="AG17" s="136" t="s">
        <v>140</v>
      </c>
      <c r="AH17" s="136">
        <f ca="1">V17+V15</f>
        <v>19336498</v>
      </c>
      <c r="AI17" s="119"/>
      <c r="AJ17" s="123" t="s">
        <v>9</v>
      </c>
      <c r="AK17" s="139"/>
      <c r="AL17" s="139"/>
      <c r="AM17" s="139"/>
      <c r="AN17" s="139"/>
      <c r="AO17" s="123" t="s">
        <v>139</v>
      </c>
      <c r="AP17" s="123">
        <f>SUM(AK34:AN34)</f>
        <v>0</v>
      </c>
      <c r="AQ17" s="123" t="s">
        <v>140</v>
      </c>
      <c r="AR17" s="123">
        <f ca="1">AH17+AH15</f>
        <v>19140643</v>
      </c>
    </row>
    <row r="18" spans="1:44" ht="16.5">
      <c r="A18" s="120"/>
      <c r="B18" s="133" t="s">
        <v>141</v>
      </c>
      <c r="C18" s="134"/>
      <c r="D18" s="134"/>
      <c r="E18" s="134"/>
      <c r="F18" s="134"/>
      <c r="G18" s="149" t="s">
        <v>101</v>
      </c>
      <c r="H18" s="150">
        <f>SUM(C3:F3)</f>
        <v>0</v>
      </c>
      <c r="I18" s="136" t="s">
        <v>142</v>
      </c>
      <c r="J18" s="136">
        <f ca="1">J15</f>
        <v>-3996003</v>
      </c>
      <c r="K18" s="142"/>
      <c r="L18" s="43"/>
      <c r="M18" s="43"/>
      <c r="N18" s="136" t="s">
        <v>141</v>
      </c>
      <c r="O18" s="138"/>
      <c r="P18" s="138"/>
      <c r="Q18" s="138"/>
      <c r="R18" s="138"/>
      <c r="S18" s="150" t="s">
        <v>101</v>
      </c>
      <c r="T18" s="150">
        <f>SUM(O3:R3)+SUM(O44:R44)</f>
        <v>0</v>
      </c>
      <c r="U18" s="136" t="s">
        <v>142</v>
      </c>
      <c r="V18" s="136">
        <f ca="1">V15</f>
        <v>23332501</v>
      </c>
      <c r="W18" s="43"/>
      <c r="X18" s="43"/>
      <c r="Y18" s="43"/>
      <c r="Z18" s="136" t="s">
        <v>141</v>
      </c>
      <c r="AA18" s="138"/>
      <c r="AB18" s="138"/>
      <c r="AC18" s="138"/>
      <c r="AD18" s="138"/>
      <c r="AE18" s="150" t="s">
        <v>101</v>
      </c>
      <c r="AF18" s="150">
        <f>SUM(AA3:AD3)</f>
        <v>0</v>
      </c>
      <c r="AG18" s="136" t="s">
        <v>142</v>
      </c>
      <c r="AH18" s="136">
        <f ca="1">AH15</f>
        <v>-195855</v>
      </c>
      <c r="AI18" s="119"/>
      <c r="AJ18" s="123" t="s">
        <v>141</v>
      </c>
      <c r="AK18" s="139"/>
      <c r="AL18" s="139"/>
      <c r="AM18" s="139"/>
      <c r="AN18" s="139"/>
      <c r="AO18" s="151" t="s">
        <v>101</v>
      </c>
      <c r="AP18" s="151">
        <f>SUM(AK3:AN3)</f>
        <v>0</v>
      </c>
      <c r="AQ18" s="123" t="s">
        <v>142</v>
      </c>
      <c r="AR18" s="123">
        <f ca="1">AR15</f>
        <v>-120000</v>
      </c>
    </row>
    <row r="19" spans="1:44" ht="16.5">
      <c r="A19" s="120"/>
      <c r="B19" s="133" t="s">
        <v>143</v>
      </c>
      <c r="C19" s="134"/>
      <c r="D19" s="134"/>
      <c r="E19" s="134"/>
      <c r="F19" s="134"/>
      <c r="G19" s="135" t="s">
        <v>144</v>
      </c>
      <c r="H19" s="150">
        <f>SUM(C44:F44)</f>
        <v>0</v>
      </c>
      <c r="I19" s="136" t="s">
        <v>145</v>
      </c>
      <c r="J19" s="136">
        <f ca="1">SUM(J16:J18)</f>
        <v>-2996003</v>
      </c>
      <c r="K19" s="142"/>
      <c r="L19" s="43"/>
      <c r="M19" s="43"/>
      <c r="N19" s="136" t="s">
        <v>143</v>
      </c>
      <c r="O19" s="138"/>
      <c r="P19" s="138"/>
      <c r="Q19" s="138"/>
      <c r="R19" s="138"/>
      <c r="S19" s="150" t="s">
        <v>144</v>
      </c>
      <c r="T19" s="150">
        <f>SUM(O44:R44)</f>
        <v>0</v>
      </c>
      <c r="U19" s="136" t="s">
        <v>145</v>
      </c>
      <c r="V19" s="136">
        <f ca="1">SUM(V16:V18)</f>
        <v>20336498</v>
      </c>
      <c r="W19" s="43"/>
      <c r="X19" s="43"/>
      <c r="Y19" s="43"/>
      <c r="Z19" s="136" t="s">
        <v>143</v>
      </c>
      <c r="AA19" s="138"/>
      <c r="AB19" s="138"/>
      <c r="AC19" s="138"/>
      <c r="AD19" s="138"/>
      <c r="AE19" s="150" t="s">
        <v>144</v>
      </c>
      <c r="AF19" s="152">
        <f>SUM(AA44:AD44)</f>
        <v>0</v>
      </c>
      <c r="AG19" s="136" t="s">
        <v>145</v>
      </c>
      <c r="AH19" s="136">
        <f ca="1">SUM(AH16:AH18)</f>
        <v>20140643</v>
      </c>
      <c r="AI19" s="119"/>
      <c r="AJ19" s="123" t="s">
        <v>143</v>
      </c>
      <c r="AK19" s="139"/>
      <c r="AL19" s="139"/>
      <c r="AM19" s="139"/>
      <c r="AN19" s="139"/>
      <c r="AO19" s="123" t="s">
        <v>144</v>
      </c>
      <c r="AP19" s="151">
        <f>SUM(AK44:AN44)</f>
        <v>0</v>
      </c>
      <c r="AQ19" s="123" t="s">
        <v>145</v>
      </c>
      <c r="AR19" s="123">
        <f ca="1">SUM(AR16:AR18)</f>
        <v>20020643</v>
      </c>
    </row>
    <row r="20" spans="1:44" ht="16.5">
      <c r="A20" s="120"/>
      <c r="B20" s="133" t="s">
        <v>124</v>
      </c>
      <c r="C20" s="134"/>
      <c r="D20" s="134"/>
      <c r="E20" s="134"/>
      <c r="F20" s="134"/>
      <c r="G20" s="135" t="s">
        <v>146</v>
      </c>
      <c r="H20" s="136">
        <f ca="1">SUM(H4:H19)</f>
        <v>816003</v>
      </c>
      <c r="I20" s="43"/>
      <c r="J20" s="43"/>
      <c r="K20" s="142"/>
      <c r="L20" s="43"/>
      <c r="M20" s="43"/>
      <c r="N20" s="136" t="s">
        <v>147</v>
      </c>
      <c r="O20" s="138"/>
      <c r="P20" s="138"/>
      <c r="Q20" s="138"/>
      <c r="R20" s="138"/>
      <c r="S20" s="136" t="s">
        <v>146</v>
      </c>
      <c r="T20" s="136">
        <f ca="1">SUM(T4:T18)</f>
        <v>132000</v>
      </c>
      <c r="U20" s="43"/>
      <c r="V20" s="43"/>
      <c r="W20" s="43"/>
      <c r="X20" s="43"/>
      <c r="Y20" s="43"/>
      <c r="Z20" s="136" t="s">
        <v>124</v>
      </c>
      <c r="AA20" s="138"/>
      <c r="AB20" s="138"/>
      <c r="AC20" s="138"/>
      <c r="AD20" s="138"/>
      <c r="AE20" s="136" t="s">
        <v>146</v>
      </c>
      <c r="AF20" s="136">
        <f ca="1">SUM(AF4:AF19)</f>
        <v>120000</v>
      </c>
      <c r="AG20" s="43"/>
      <c r="AH20" s="43"/>
      <c r="AI20" s="119"/>
      <c r="AJ20" s="123" t="s">
        <v>124</v>
      </c>
      <c r="AK20" s="139"/>
      <c r="AL20" s="139"/>
      <c r="AM20" s="139"/>
      <c r="AN20" s="139"/>
      <c r="AO20" s="123" t="s">
        <v>146</v>
      </c>
      <c r="AP20" s="123">
        <f ca="1">SUM(AP4:AP19)</f>
        <v>120000</v>
      </c>
      <c r="AQ20" s="64"/>
      <c r="AR20" s="64"/>
    </row>
    <row r="21" spans="1:44" ht="16.5">
      <c r="A21" s="120"/>
      <c r="B21" s="133" t="s">
        <v>148</v>
      </c>
      <c r="C21" s="134"/>
      <c r="D21" s="134"/>
      <c r="E21" s="134"/>
      <c r="F21" s="134"/>
      <c r="G21" s="153"/>
      <c r="H21" s="153"/>
      <c r="I21" s="44" t="s">
        <v>149</v>
      </c>
      <c r="J21" s="154">
        <f ca="1">O2</f>
        <v>-1086003</v>
      </c>
      <c r="K21" s="142"/>
      <c r="L21" s="43"/>
      <c r="M21" s="43"/>
      <c r="N21" s="141" t="s">
        <v>148</v>
      </c>
      <c r="O21" s="138"/>
      <c r="P21" s="138"/>
      <c r="Q21" s="138"/>
      <c r="R21" s="138"/>
      <c r="S21" s="43"/>
      <c r="T21" s="43"/>
      <c r="U21" s="43"/>
      <c r="V21" s="43"/>
      <c r="W21" s="43"/>
      <c r="X21" s="43"/>
      <c r="Y21" s="43"/>
      <c r="Z21" s="136" t="s">
        <v>148</v>
      </c>
      <c r="AA21" s="138"/>
      <c r="AB21" s="138"/>
      <c r="AC21" s="138"/>
      <c r="AD21" s="138"/>
      <c r="AE21" s="43"/>
      <c r="AF21" s="43"/>
      <c r="AG21" s="43"/>
      <c r="AH21" s="43"/>
      <c r="AI21" s="119"/>
      <c r="AJ21" s="124" t="s">
        <v>148</v>
      </c>
      <c r="AK21" s="139"/>
      <c r="AL21" s="139"/>
      <c r="AM21" s="139"/>
      <c r="AN21" s="139"/>
      <c r="AO21" s="64"/>
      <c r="AP21" s="64"/>
      <c r="AQ21" s="64"/>
      <c r="AR21" s="64"/>
    </row>
    <row r="22" spans="1:44" ht="16.5">
      <c r="A22" s="120"/>
      <c r="B22" s="133" t="s">
        <v>150</v>
      </c>
      <c r="C22" s="155" cm="1">
        <f t="array" ref="C22">SUMPRODUCT(生产建设!I64:I66,规则表!$H$17:$H$19)</f>
        <v>0</v>
      </c>
      <c r="D22" s="155" cm="1">
        <f t="array" ref="D22">SUMPRODUCT(生产建设!J64:J66,规则表!$H$17:$H$19)</f>
        <v>0</v>
      </c>
      <c r="E22" s="155" cm="1">
        <f t="array" ref="E22">SUMPRODUCT(生产建设!K64:K66,规则表!$H$17:$H$19)</f>
        <v>0</v>
      </c>
      <c r="F22" s="155" cm="1">
        <f t="array" ref="F22">SUMPRODUCT(生产建设!L64:L66,规则表!$H$17:$H$19)</f>
        <v>0</v>
      </c>
      <c r="G22" s="43"/>
      <c r="H22" s="153"/>
      <c r="I22" s="153"/>
      <c r="J22" s="153"/>
      <c r="K22" s="142"/>
      <c r="L22" s="43"/>
      <c r="M22" s="43"/>
      <c r="N22" s="141" t="s">
        <v>150</v>
      </c>
      <c r="O22" s="156" cm="1">
        <f t="array" ref="O22">SUMPRODUCT(生产建设!M64:M66,规则表!$H$17:$H$19)</f>
        <v>0</v>
      </c>
      <c r="P22" s="156" cm="1">
        <f t="array" ref="P22">SUMPRODUCT(生产建设!N64:N66,规则表!$H$17:$H$19)</f>
        <v>0</v>
      </c>
      <c r="Q22" s="156" cm="1">
        <f t="array" ref="Q22">SUMPRODUCT(生产建设!O64:O66,规则表!$H$17:$H$19)</f>
        <v>0</v>
      </c>
      <c r="R22" s="156" cm="1">
        <f t="array" ref="R22">SUMPRODUCT(生产建设!P64:P66,规则表!$H$17:$H$19)</f>
        <v>0</v>
      </c>
      <c r="S22" s="43"/>
      <c r="T22" s="43"/>
      <c r="U22" s="43"/>
      <c r="V22" s="43"/>
      <c r="W22" s="43"/>
      <c r="X22" s="43"/>
      <c r="Y22" s="43"/>
      <c r="Z22" s="136" t="s">
        <v>150</v>
      </c>
      <c r="AA22" s="157" cm="1">
        <f t="array" ref="AA22">SUMPRODUCT(生产建设!Q64:Q66,规则表!$H$17:$H$19)</f>
        <v>0</v>
      </c>
      <c r="AB22" s="157" cm="1">
        <f t="array" ref="AB22">SUMPRODUCT(生产建设!R64:R66,规则表!$H$17:$H$19)</f>
        <v>0</v>
      </c>
      <c r="AC22" s="157" cm="1">
        <f t="array" ref="AC22">SUMPRODUCT(生产建设!S64:S66,规则表!$H$17:$H$19)</f>
        <v>0</v>
      </c>
      <c r="AD22" s="157" cm="1">
        <f t="array" ref="AD22">SUMPRODUCT(生产建设!T64:T66,规则表!$H$17:$H$19)</f>
        <v>0</v>
      </c>
      <c r="AE22" s="43"/>
      <c r="AF22" s="43"/>
      <c r="AG22" s="43"/>
      <c r="AH22" s="43"/>
      <c r="AI22" s="119"/>
      <c r="AJ22" s="124" t="s">
        <v>151</v>
      </c>
      <c r="AK22" s="158" cm="1">
        <f t="array" ref="AK22">SUMPRODUCT(生产建设!U64:U66,规则表!$H$17:$H$19)</f>
        <v>0</v>
      </c>
      <c r="AL22" s="158" cm="1">
        <f t="array" ref="AL22">SUMPRODUCT(生产建设!V64:V66,规则表!$H$17:$H$19)</f>
        <v>0</v>
      </c>
      <c r="AM22" s="158" cm="1">
        <f t="array" ref="AM22">SUMPRODUCT(生产建设!W64:W66,规则表!$H$17:$H$19)</f>
        <v>0</v>
      </c>
      <c r="AN22" s="158" cm="1">
        <f t="array" ref="AN22">SUMPRODUCT(生产建设!X64:X66,规则表!$H$17:$H$19)</f>
        <v>0</v>
      </c>
      <c r="AO22" s="64"/>
      <c r="AP22" s="64"/>
      <c r="AQ22" s="64"/>
      <c r="AR22" s="64"/>
    </row>
    <row r="23" spans="1:44" ht="16.5">
      <c r="A23" s="120"/>
      <c r="B23" s="329" t="s">
        <v>152</v>
      </c>
      <c r="C23" s="329"/>
      <c r="D23" s="329"/>
      <c r="E23" s="329"/>
      <c r="F23" s="329"/>
      <c r="G23" s="153"/>
      <c r="H23" s="153"/>
      <c r="I23" s="153"/>
      <c r="J23" s="153"/>
      <c r="K23" s="142"/>
      <c r="L23" s="43"/>
      <c r="M23" s="43"/>
      <c r="N23" s="330" t="s">
        <v>152</v>
      </c>
      <c r="O23" s="331"/>
      <c r="P23" s="331"/>
      <c r="Q23" s="331"/>
      <c r="R23" s="332"/>
      <c r="S23" s="43"/>
      <c r="T23" s="43"/>
      <c r="U23" s="43"/>
      <c r="V23" s="43"/>
      <c r="W23" s="43"/>
      <c r="X23" s="43"/>
      <c r="Y23" s="43"/>
      <c r="Z23" s="333" t="s">
        <v>152</v>
      </c>
      <c r="AA23" s="333"/>
      <c r="AB23" s="333"/>
      <c r="AC23" s="333"/>
      <c r="AD23" s="333"/>
      <c r="AE23" s="43"/>
      <c r="AF23" s="43"/>
      <c r="AG23" s="43"/>
      <c r="AH23" s="43"/>
      <c r="AI23" s="119"/>
      <c r="AJ23" s="327" t="s">
        <v>152</v>
      </c>
      <c r="AK23" s="334"/>
      <c r="AL23" s="334"/>
      <c r="AM23" s="334"/>
      <c r="AN23" s="328"/>
      <c r="AO23" s="64"/>
      <c r="AP23" s="64"/>
      <c r="AQ23" s="64"/>
      <c r="AR23" s="64"/>
    </row>
    <row r="24" spans="1:44" ht="16.5">
      <c r="A24" s="120"/>
      <c r="B24" s="133" t="s">
        <v>153</v>
      </c>
      <c r="C24" s="134"/>
      <c r="D24" s="134"/>
      <c r="E24" s="159"/>
      <c r="F24" s="159"/>
      <c r="G24" s="153"/>
      <c r="H24" s="153"/>
      <c r="I24" s="153"/>
      <c r="J24" s="153"/>
      <c r="K24" s="142"/>
      <c r="L24" s="43"/>
      <c r="M24" s="43"/>
      <c r="N24" s="136" t="s">
        <v>153</v>
      </c>
      <c r="O24" s="138"/>
      <c r="P24" s="138"/>
      <c r="Q24" s="138"/>
      <c r="R24" s="138"/>
      <c r="S24" s="43"/>
      <c r="T24" s="43"/>
      <c r="U24" s="43"/>
      <c r="V24" s="43"/>
      <c r="W24" s="142"/>
      <c r="X24" s="43"/>
      <c r="Y24" s="43"/>
      <c r="Z24" s="136" t="s">
        <v>153</v>
      </c>
      <c r="AA24" s="138"/>
      <c r="AB24" s="138"/>
      <c r="AC24" s="138"/>
      <c r="AD24" s="138"/>
      <c r="AE24" s="43"/>
      <c r="AF24" s="43"/>
      <c r="AG24" s="43"/>
      <c r="AH24" s="43"/>
      <c r="AI24" s="119"/>
      <c r="AJ24" s="123" t="s">
        <v>153</v>
      </c>
      <c r="AK24" s="139"/>
      <c r="AL24" s="139"/>
      <c r="AM24" s="139"/>
      <c r="AN24" s="139"/>
      <c r="AO24" s="64"/>
      <c r="AP24" s="64"/>
      <c r="AQ24" s="64"/>
      <c r="AR24" s="64"/>
    </row>
    <row r="25" spans="1:44" ht="33">
      <c r="A25" s="120"/>
      <c r="B25" s="133" t="s">
        <v>154</v>
      </c>
      <c r="C25" s="155"/>
      <c r="D25" s="155">
        <f ca="1">生产建设!J58</f>
        <v>0</v>
      </c>
      <c r="E25" s="155">
        <f ca="1">生产建设!K58</f>
        <v>6000</v>
      </c>
      <c r="F25" s="155">
        <f ca="1">生产建设!L58</f>
        <v>0</v>
      </c>
      <c r="G25" s="341" t="s">
        <v>155</v>
      </c>
      <c r="H25" s="337">
        <v>1.2</v>
      </c>
      <c r="I25" s="337"/>
      <c r="J25" s="337"/>
      <c r="K25" s="337">
        <v>1.3</v>
      </c>
      <c r="L25" s="337"/>
      <c r="M25" s="337"/>
      <c r="N25" s="136" t="s">
        <v>154</v>
      </c>
      <c r="O25" s="156">
        <f ca="1">生产建设!M58</f>
        <v>6000</v>
      </c>
      <c r="P25" s="156">
        <f ca="1">生产建设!N58</f>
        <v>0</v>
      </c>
      <c r="Q25" s="156">
        <f ca="1">生产建设!O58</f>
        <v>6000</v>
      </c>
      <c r="R25" s="156">
        <f ca="1">生产建设!P58</f>
        <v>0</v>
      </c>
      <c r="S25" s="311" t="s">
        <v>155</v>
      </c>
      <c r="T25" s="42" t="s">
        <v>160</v>
      </c>
      <c r="U25" s="42"/>
      <c r="V25" s="42"/>
      <c r="W25" s="43"/>
      <c r="X25" s="43"/>
      <c r="Y25" s="43"/>
      <c r="Z25" s="136" t="s">
        <v>154</v>
      </c>
      <c r="AA25" s="156">
        <f ca="1">生产建设!Q58</f>
        <v>0</v>
      </c>
      <c r="AB25" s="156">
        <f ca="1">生产建设!R58</f>
        <v>0</v>
      </c>
      <c r="AC25" s="156">
        <f ca="1">生产建设!S58</f>
        <v>0</v>
      </c>
      <c r="AD25" s="156">
        <f ca="1">生产建设!T58</f>
        <v>0</v>
      </c>
      <c r="AE25" s="43"/>
      <c r="AF25" s="43"/>
      <c r="AG25" s="43"/>
      <c r="AH25" s="43"/>
      <c r="AI25" s="119"/>
      <c r="AJ25" s="123" t="s">
        <v>154</v>
      </c>
      <c r="AK25" s="158">
        <f ca="1">生产建设!U58</f>
        <v>0</v>
      </c>
      <c r="AL25" s="158">
        <f ca="1">生产建设!V58</f>
        <v>0</v>
      </c>
      <c r="AM25" s="158">
        <f ca="1">生产建设!W58</f>
        <v>0</v>
      </c>
      <c r="AN25" s="158">
        <f ca="1">生产建设!X58</f>
        <v>0</v>
      </c>
    </row>
    <row r="26" spans="1:44" ht="16.5">
      <c r="A26" s="120"/>
      <c r="B26" s="133" t="s">
        <v>156</v>
      </c>
      <c r="C26" s="155">
        <f>生产建设!I54</f>
        <v>0</v>
      </c>
      <c r="D26" s="155">
        <f ca="1">生产建设!J54</f>
        <v>90000</v>
      </c>
      <c r="E26" s="155">
        <f ca="1">生产建设!K54</f>
        <v>90000</v>
      </c>
      <c r="F26" s="155">
        <f ca="1">生产建设!L54</f>
        <v>90000</v>
      </c>
      <c r="G26" s="342"/>
      <c r="H26" s="42" t="s">
        <v>157</v>
      </c>
      <c r="I26" s="42" t="s">
        <v>158</v>
      </c>
      <c r="J26" s="160" t="s">
        <v>159</v>
      </c>
      <c r="K26" s="160" t="s">
        <v>157</v>
      </c>
      <c r="L26" s="42" t="s">
        <v>158</v>
      </c>
      <c r="M26" s="42" t="s">
        <v>159</v>
      </c>
      <c r="N26" s="136" t="s">
        <v>156</v>
      </c>
      <c r="O26" s="156">
        <f ca="1">生产建设!M54</f>
        <v>90000</v>
      </c>
      <c r="P26" s="156">
        <f ca="1">生产建设!N54</f>
        <v>90000</v>
      </c>
      <c r="Q26" s="156">
        <f ca="1">生产建设!O54</f>
        <v>90000</v>
      </c>
      <c r="R26" s="156">
        <f ca="1">生产建设!P54</f>
        <v>90000</v>
      </c>
      <c r="S26" s="312"/>
      <c r="T26" s="42" t="s">
        <v>157</v>
      </c>
      <c r="U26" s="42" t="s">
        <v>158</v>
      </c>
      <c r="V26" s="42" t="s">
        <v>159</v>
      </c>
      <c r="W26" s="43"/>
      <c r="X26" s="43"/>
      <c r="Y26" s="43"/>
      <c r="Z26" s="136" t="s">
        <v>156</v>
      </c>
      <c r="AA26" s="156">
        <f ca="1">生产建设!Q54</f>
        <v>90000</v>
      </c>
      <c r="AB26" s="156">
        <f ca="1">生产建设!R54</f>
        <v>90000</v>
      </c>
      <c r="AC26" s="156">
        <f ca="1">生产建设!S54</f>
        <v>90000</v>
      </c>
      <c r="AD26" s="156">
        <f ca="1">生产建设!T54</f>
        <v>90000</v>
      </c>
      <c r="AE26" s="153"/>
      <c r="AF26" s="153"/>
      <c r="AG26" s="153"/>
      <c r="AH26" s="153"/>
      <c r="AI26" s="119"/>
      <c r="AJ26" s="123" t="s">
        <v>156</v>
      </c>
      <c r="AK26" s="158">
        <f ca="1">生产建设!U54</f>
        <v>90000</v>
      </c>
      <c r="AL26" s="158">
        <f ca="1">生产建设!V54</f>
        <v>90000</v>
      </c>
      <c r="AM26" s="158">
        <f ca="1">生产建设!W54</f>
        <v>90000</v>
      </c>
      <c r="AN26" s="158">
        <f ca="1">生产建设!X54</f>
        <v>90000</v>
      </c>
      <c r="AO26" s="161"/>
      <c r="AP26" s="161"/>
      <c r="AQ26" s="161"/>
      <c r="AR26" s="161"/>
    </row>
    <row r="27" spans="1:44" ht="14.45" customHeight="1">
      <c r="A27" s="120"/>
      <c r="B27" s="133" t="s">
        <v>138</v>
      </c>
      <c r="C27" s="134"/>
      <c r="D27" s="134"/>
      <c r="E27" s="134"/>
      <c r="F27" s="134"/>
      <c r="G27" s="162" t="str">
        <f>H54</f>
        <v>P1</v>
      </c>
      <c r="H27" s="42" cm="1">
        <f t="array" ref="H27">INT(MIN(_xlfn._xlws.FILTER(原始订单表!$M:$M,(原始订单表!$A:$A=1)*(原始订单表!$B:$B=2)*(原始订单表!$E:$E=G27),0)))</f>
        <v>4800</v>
      </c>
      <c r="I27" s="42" cm="1">
        <f t="array" ref="I27">INT(AVERAGE(_xlfn._xlws.FILTER(原始订单表!$M:$M,(原始订单表!$A:$A=1)*(原始订单表!$B:$B=2)*(原始订单表!$E:$E=G27),0)))</f>
        <v>4848</v>
      </c>
      <c r="J27" s="160" cm="1">
        <f t="array" ref="J27">INT(MAX(_xlfn._xlws.FILTER(原始订单表!$M:$M,(原始订单表!$A:$A=1)*(原始订单表!$B:$B=2)*(原始订单表!$E:$E=G27),0)))</f>
        <v>4896</v>
      </c>
      <c r="K27" s="160" cm="1">
        <f t="array" ref="K27">INT(MIN(_xlfn._xlws.FILTER(原始订单表!$M:$M,(原始订单表!$A:$A=1)*(原始订单表!$B:$B=3)*(原始订单表!$E:$E=G27),0)))</f>
        <v>4032</v>
      </c>
      <c r="L27" s="42" cm="1">
        <f t="array" ref="L27">INT(AVERAGE(_xlfn._xlws.FILTER(原始订单表!$M:$M,(原始订单表!$A:$A=1)*(原始订单表!$B:$B=3)*(原始订单表!$E:$E=G27),0)))</f>
        <v>4080</v>
      </c>
      <c r="M27" s="42" cm="1">
        <f t="array" ref="M27">INT(MAX(_xlfn._xlws.FILTER(原始订单表!$M:$M,(原始订单表!$A:$A=1)*(原始订单表!$B:$B=3)*(原始订单表!$E:$E=G27),0)))</f>
        <v>4128</v>
      </c>
      <c r="N27" s="136" t="s">
        <v>138</v>
      </c>
      <c r="O27" s="138"/>
      <c r="P27" s="138"/>
      <c r="Q27" s="138"/>
      <c r="R27" s="138"/>
      <c r="S27" s="42" t="str">
        <f>G27</f>
        <v>P1</v>
      </c>
      <c r="T27" s="42" cm="1">
        <f t="array" ref="T27">INT(MIN(_xlfn._xlws.FILTER(原始订单表!$M:$M,(原始订单表!$A:$A=2)*(原始订单表!$B:$B=1)*(原始订单表!$E:$E=S27),0)))</f>
        <v>4416</v>
      </c>
      <c r="U27" s="42" cm="1">
        <f t="array" ref="U27">INT(AVERAGE(_xlfn._xlws.FILTER(原始订单表!$M:$M,(原始订单表!$A:$A=2)*(原始订单表!$B:$B=1)*(原始订单表!$E:$E=S27),0)))</f>
        <v>4909</v>
      </c>
      <c r="V27" s="42" cm="1">
        <f t="array" ref="V27">INT(MAX(_xlfn._xlws.FILTER(原始订单表!$M:$M,(原始订单表!$A:$A=2)*(原始订单表!$B:$B=1)*(原始订单表!$E:$E=S27),0)))</f>
        <v>5624</v>
      </c>
      <c r="W27" s="337">
        <v>2.2000000000000002</v>
      </c>
      <c r="X27" s="337"/>
      <c r="Y27" s="338"/>
      <c r="Z27" s="136" t="s">
        <v>138</v>
      </c>
      <c r="AA27" s="138"/>
      <c r="AB27" s="138"/>
      <c r="AC27" s="138"/>
      <c r="AD27" s="138"/>
      <c r="AE27" s="153"/>
      <c r="AF27" s="153"/>
      <c r="AG27" s="153"/>
      <c r="AH27" s="153"/>
      <c r="AI27" s="119"/>
      <c r="AJ27" s="123" t="s">
        <v>138</v>
      </c>
      <c r="AK27" s="139"/>
      <c r="AL27" s="139"/>
      <c r="AM27" s="139"/>
      <c r="AN27" s="139"/>
      <c r="AO27" s="161"/>
      <c r="AP27" s="161"/>
      <c r="AQ27" s="161"/>
      <c r="AR27" s="161"/>
    </row>
    <row r="28" spans="1:44" ht="16.5">
      <c r="A28" s="120"/>
      <c r="B28" s="133" t="s">
        <v>130</v>
      </c>
      <c r="C28" s="134"/>
      <c r="D28" s="134"/>
      <c r="E28" s="134"/>
      <c r="F28" s="134"/>
      <c r="G28" s="162" t="str">
        <f>H55</f>
        <v>P2</v>
      </c>
      <c r="H28" s="42" cm="1">
        <f t="array" ref="H28">INT(MIN(_xlfn._xlws.FILTER(原始订单表!$M:$M,(原始订单表!$A:$A=1)*(原始订单表!$B:$B=2)*(原始订单表!$E:$E=G28),0)))</f>
        <v>7938</v>
      </c>
      <c r="I28" s="42" cm="1">
        <f t="array" ref="I28">INT(AVERAGE(_xlfn._xlws.FILTER(原始订单表!$M:$M,(原始订单表!$A:$A=1)*(原始订单表!$B:$B=2)*(原始订单表!$E:$E=G28),0)))</f>
        <v>7953</v>
      </c>
      <c r="J28" s="160" cm="1">
        <f t="array" ref="J28">INT(MAX(_xlfn._xlws.FILTER(原始订单表!$M:$M,(原始订单表!$A:$A=1)*(原始订单表!$B:$B=2)*(原始订单表!$E:$E=G28),0)))</f>
        <v>7968</v>
      </c>
      <c r="K28" s="160" cm="1">
        <f t="array" ref="K28">INT(MIN(_xlfn._xlws.FILTER(原始订单表!$M:$M,(原始订单表!$A:$A=1)*(原始订单表!$B:$B=3)*(原始订单表!$E:$E=G28),0)))</f>
        <v>7200</v>
      </c>
      <c r="L28" s="42" cm="1">
        <f t="array" ref="L28">INT(AVERAGE(_xlfn._xlws.FILTER(原始订单表!$M:$M,(原始订单表!$A:$A=1)*(原始订单表!$B:$B=3)*(原始订单表!$E:$E=G28),0)))</f>
        <v>7348</v>
      </c>
      <c r="M28" s="42" cm="1">
        <f t="array" ref="M28">INT(MAX(_xlfn._xlws.FILTER(原始订单表!$M:$M,(原始订单表!$A:$A=1)*(原始订单表!$B:$B=3)*(原始订单表!$E:$E=G28),0)))</f>
        <v>7497</v>
      </c>
      <c r="N28" s="136" t="s">
        <v>130</v>
      </c>
      <c r="O28" s="138"/>
      <c r="P28" s="138"/>
      <c r="Q28" s="138"/>
      <c r="R28" s="138"/>
      <c r="S28" s="42" t="str">
        <f>G28</f>
        <v>P2</v>
      </c>
      <c r="T28" s="42" cm="1">
        <f t="array" ref="T28">INT(MIN(_xlfn._xlws.FILTER(原始订单表!$M:$M,(原始订单表!$A:$A=2)*(原始订单表!$B:$B=1)*(原始订单表!$E:$E=S28),0)))</f>
        <v>6816</v>
      </c>
      <c r="U28" s="42" cm="1">
        <f t="array" ref="U28">INT(AVERAGE(_xlfn._xlws.FILTER(原始订单表!M:M,(原始订单表!A:A=2)*(原始订单表!B:B=1)*(原始订单表!E:E=S28),0)))</f>
        <v>7622</v>
      </c>
      <c r="V28" s="42" cm="1">
        <f t="array" ref="V28">INT(MAX(_xlfn._xlws.FILTER(原始订单表!$M:$M,(原始订单表!$A:$A=2)*(原始订单表!$B:$B=1)*(原始订单表!$E:$E=S28),0)))</f>
        <v>8640</v>
      </c>
      <c r="W28" s="42" t="s">
        <v>157</v>
      </c>
      <c r="X28" s="42" t="s">
        <v>158</v>
      </c>
      <c r="Y28" s="163" t="s">
        <v>159</v>
      </c>
      <c r="Z28" s="136" t="s">
        <v>130</v>
      </c>
      <c r="AA28" s="138"/>
      <c r="AB28" s="138"/>
      <c r="AC28" s="138"/>
      <c r="AD28" s="138"/>
      <c r="AE28" s="43"/>
      <c r="AF28" s="43"/>
      <c r="AG28" s="43"/>
      <c r="AH28" s="43"/>
      <c r="AI28" s="119"/>
      <c r="AJ28" s="123" t="s">
        <v>130</v>
      </c>
      <c r="AK28" s="139"/>
      <c r="AL28" s="139"/>
      <c r="AM28" s="139"/>
      <c r="AN28" s="139"/>
      <c r="AO28" s="64"/>
      <c r="AP28" s="64"/>
      <c r="AQ28" s="64"/>
      <c r="AR28" s="64"/>
    </row>
    <row r="29" spans="1:44" ht="16.5">
      <c r="A29" s="120"/>
      <c r="B29" s="133" t="s">
        <v>161</v>
      </c>
      <c r="C29" s="133">
        <f>SUM(C24:C28)</f>
        <v>0</v>
      </c>
      <c r="D29" s="133">
        <f ca="1">SUM(D24:D28)</f>
        <v>90000</v>
      </c>
      <c r="E29" s="133">
        <f ca="1">SUM(E24:E28)</f>
        <v>96000</v>
      </c>
      <c r="F29" s="133">
        <f ca="1">SUM(F24:F28)</f>
        <v>90000</v>
      </c>
      <c r="G29" s="162" t="str">
        <f>H56</f>
        <v>P3</v>
      </c>
      <c r="H29" s="42" cm="1">
        <f t="array" ref="H29">INT(MIN(_xlfn._xlws.FILTER(原始订单表!$M:$M,(原始订单表!$A:$A=1)*(原始订单表!$B:$B=2)*(原始订单表!$E:$E=G29),0)))</f>
        <v>0</v>
      </c>
      <c r="I29" s="42" cm="1">
        <f t="array" ref="I29">INT(AVERAGE(_xlfn._xlws.FILTER(原始订单表!$M:$M,(原始订单表!$A:$A=1)*(原始订单表!$B:$B=2)*(原始订单表!$E:$E=G29),0)))</f>
        <v>0</v>
      </c>
      <c r="J29" s="160" cm="1">
        <f t="array" ref="J29">INT(MAX(_xlfn._xlws.FILTER(原始订单表!$M:$M,(原始订单表!$A:$A=1)*(原始订单表!$B:$B=2)*(原始订单表!$E:$E=G29),0)))</f>
        <v>0</v>
      </c>
      <c r="K29" s="160" cm="1">
        <f t="array" ref="K29">INT(MIN(_xlfn._xlws.FILTER(原始订单表!$M:$M,(原始订单表!$A:$A=1)*(原始订单表!$B:$B=3)*(原始订单表!$E:$E=G29),0)))</f>
        <v>0</v>
      </c>
      <c r="L29" s="42" cm="1">
        <f t="array" ref="L29">INT(AVERAGE(_xlfn._xlws.FILTER(原始订单表!$M:$M,(原始订单表!$A:$A=1)*(原始订单表!$B:$B=3)*(原始订单表!$E:$E=G29),0)))</f>
        <v>0</v>
      </c>
      <c r="M29" s="42" cm="1">
        <f t="array" ref="M29">INT(MAX(_xlfn._xlws.FILTER(原始订单表!$M:$M,(原始订单表!$A:$A=1)*(原始订单表!$B:$B=3)*(原始订单表!$E:$E=G29),0)))</f>
        <v>0</v>
      </c>
      <c r="N29" s="136" t="s">
        <v>161</v>
      </c>
      <c r="O29" s="136">
        <f ca="1">SUM(O24:O28)</f>
        <v>96000</v>
      </c>
      <c r="P29" s="136">
        <f ca="1">SUM(P24:P28)</f>
        <v>90000</v>
      </c>
      <c r="Q29" s="136">
        <f ca="1">SUM(Q24:Q28)</f>
        <v>96000</v>
      </c>
      <c r="R29" s="136">
        <f ca="1">SUM(R24:R28)</f>
        <v>90000</v>
      </c>
      <c r="S29" s="42" t="str">
        <f>G29</f>
        <v>P3</v>
      </c>
      <c r="T29" s="42" cm="1">
        <f t="array" ref="T29">INT(MIN(_xlfn._xlws.FILTER(原始订单表!$M:$M,(原始订单表!$A:$A=2)*(原始订单表!$B:$B=1)*(原始订单表!$E:$E=S29),0)))</f>
        <v>9792</v>
      </c>
      <c r="U29" s="42" cm="1">
        <f t="array" ref="U29">INT(AVERAGE(_xlfn._xlws.FILTER(原始订单表!$M:$M,(原始订单表!$A:$A=2)*(原始订单表!$B:$B=1)*(原始订单表!$E:$E=S29),0)))</f>
        <v>10880</v>
      </c>
      <c r="V29" s="42" cm="1">
        <f t="array" ref="V29">INT(MAX(_xlfn._xlws.FILTER(原始订单表!$M:$M,(原始订单表!$A:$A=2)*(原始订单表!$B:$B=1)*(原始订单表!$E:$E=S29),0)))</f>
        <v>12070</v>
      </c>
      <c r="W29" s="42" cm="1">
        <f t="array" ref="W29">INT(MIN(_xlfn._xlws.FILTER(原始订单表!$M:$M,(原始订单表!$A:$A=2)*(原始订单表!$B:$B=2)*(原始订单表!$E:$E=S27),0)))</f>
        <v>0</v>
      </c>
      <c r="X29" s="42" cm="1">
        <f t="array" ref="X29">INT(AVERAGE(_xlfn._xlws.FILTER(原始订单表!$M:$M,(原始订单表!$A:$A=2)*(原始订单表!$B:$B=2)*(原始订单表!$E:$E=S27),0)))</f>
        <v>0</v>
      </c>
      <c r="Y29" s="163" cm="1">
        <f t="array" ref="Y29">INT(MAX(_xlfn._xlws.FILTER(原始订单表!$M:$M,(原始订单表!$A:$A=2)*(原始订单表!$B:$B=2)*(原始订单表!$E:$E=S27),0)))</f>
        <v>0</v>
      </c>
      <c r="Z29" s="136" t="s">
        <v>161</v>
      </c>
      <c r="AA29" s="136">
        <f ca="1">SUM(AA24:AA28)</f>
        <v>90000</v>
      </c>
      <c r="AB29" s="136">
        <f ca="1">SUM(AB24:AB28)</f>
        <v>90000</v>
      </c>
      <c r="AC29" s="136">
        <f ca="1">SUM(AC24:AC28)</f>
        <v>90000</v>
      </c>
      <c r="AD29" s="136">
        <f ca="1">SUM(AD24:AD28)</f>
        <v>90000</v>
      </c>
      <c r="AE29" s="43"/>
      <c r="AF29" s="43"/>
      <c r="AG29" s="43"/>
      <c r="AH29" s="43"/>
      <c r="AI29" s="119"/>
      <c r="AJ29" s="123" t="s">
        <v>161</v>
      </c>
      <c r="AK29" s="123">
        <f t="shared" ref="AK29:AN29" ca="1" si="10">SUM(AK24:AK28)</f>
        <v>90000</v>
      </c>
      <c r="AL29" s="123">
        <f t="shared" ca="1" si="10"/>
        <v>90000</v>
      </c>
      <c r="AM29" s="123">
        <f t="shared" ca="1" si="10"/>
        <v>90000</v>
      </c>
      <c r="AN29" s="123">
        <f t="shared" ca="1" si="10"/>
        <v>90000</v>
      </c>
      <c r="AO29" s="64"/>
      <c r="AP29" s="64"/>
      <c r="AQ29" s="64"/>
      <c r="AR29" s="64"/>
    </row>
    <row r="30" spans="1:44" ht="16.5">
      <c r="A30" s="120"/>
      <c r="B30" s="329" t="s">
        <v>162</v>
      </c>
      <c r="C30" s="329"/>
      <c r="D30" s="329"/>
      <c r="E30" s="329"/>
      <c r="F30" s="329"/>
      <c r="G30" s="162" t="str">
        <f>H57</f>
        <v>P4</v>
      </c>
      <c r="H30" s="42" cm="1">
        <f t="array" ref="H30">INT(MIN(_xlfn._xlws.FILTER(原始订单表!$M:$M,(原始订单表!$A:$A=1)*(原始订单表!$B:$B=2)*(原始订单表!$E:$E=G30),0)))</f>
        <v>0</v>
      </c>
      <c r="I30" s="42" cm="1">
        <f t="array" ref="I30">INT(AVERAGE(_xlfn._xlws.FILTER(原始订单表!$M:$M,(原始订单表!$A:$A=1)*(原始订单表!$B:$B=2)*(原始订单表!$E:$E=G30),0)))</f>
        <v>0</v>
      </c>
      <c r="J30" s="160" cm="1">
        <f t="array" ref="J30">INT(MAX(_xlfn._xlws.FILTER(原始订单表!$M:$M,(原始订单表!$A:$A=1)*(原始订单表!$B:$B=2)*(原始订单表!$E:$E=G30),0)))</f>
        <v>0</v>
      </c>
      <c r="K30" s="160" cm="1">
        <f t="array" ref="K30">INT(MIN(_xlfn._xlws.FILTER(原始订单表!$M:$M,(原始订单表!$A:$A=1)*(原始订单表!$B:$B=3)*(原始订单表!$E:$E=G30),0)))</f>
        <v>0</v>
      </c>
      <c r="L30" s="42" cm="1">
        <f t="array" ref="L30">INT(AVERAGE(_xlfn._xlws.FILTER(原始订单表!$M:$M,(原始订单表!$A:$A=1)*(原始订单表!$B:$B=3)*(原始订单表!$E:$E=G30),0)))</f>
        <v>0</v>
      </c>
      <c r="M30" s="42" cm="1">
        <f t="array" ref="M30">INT(MAX(_xlfn._xlws.FILTER(原始订单表!$M:$M,(原始订单表!$A:$A=1)*(原始订单表!$B:$B=3)*(原始订单表!$E:$E=G30),0)))</f>
        <v>0</v>
      </c>
      <c r="N30" s="330" t="s">
        <v>162</v>
      </c>
      <c r="O30" s="331"/>
      <c r="P30" s="331"/>
      <c r="Q30" s="331"/>
      <c r="R30" s="332"/>
      <c r="S30" s="42" t="str">
        <f>G30</f>
        <v>P4</v>
      </c>
      <c r="T30" s="42" cm="1">
        <f t="array" ref="T30">INT(MIN(_xlfn._xlws.FILTER(原始订单表!$M:$M,(原始订单表!$A:$A=2)*(原始订单表!$B:$B=1)*(原始订单表!$E:$E=S30),0)))</f>
        <v>13780</v>
      </c>
      <c r="U30" s="42" cm="1">
        <f t="array" ref="U30">INT(AVERAGE(_xlfn._xlws.FILTER(原始订单表!$M:$M,(原始订单表!$A:$A=2)*(原始订单表!$B:$B=1)*(原始订单表!$E:$E=S30),0)))</f>
        <v>14628</v>
      </c>
      <c r="V30" s="42" cm="1">
        <f t="array" ref="V30">INT(MAX(_xlfn._xlws.FILTER(原始订单表!$M:$M,(原始订单表!$A:$A=2)*(原始订单表!$B:$B=1)*(原始订单表!$E:$E=S30),0)))</f>
        <v>15019</v>
      </c>
      <c r="W30" s="42" cm="1">
        <f t="array" ref="W30">INT(MIN(_xlfn._xlws.FILTER(原始订单表!$M:$M,(原始订单表!$A:$A=2)*(原始订单表!$B:$B=2)*(原始订单表!$E:$E=S28),0)))</f>
        <v>6818</v>
      </c>
      <c r="X30" s="42" cm="1">
        <f t="array" ref="X30">INT(AVERAGE(_xlfn._xlws.FILTER(原始订单表!$M:$M,(原始订单表!$A:$A=2)*(原始订单表!$B:$B=2)*(原始订单表!$E:$E=S28),0)))</f>
        <v>6818</v>
      </c>
      <c r="Y30" s="163" cm="1">
        <f t="array" ref="Y30">INT(MAX(_xlfn._xlws.FILTER(原始订单表!$M:$M,(原始订单表!$A:$A=2)*(原始订单表!$B:$B=2)*(原始订单表!$E:$E=S28),0)))</f>
        <v>6818</v>
      </c>
      <c r="Z30" s="333" t="s">
        <v>162</v>
      </c>
      <c r="AA30" s="333"/>
      <c r="AB30" s="333"/>
      <c r="AC30" s="333"/>
      <c r="AD30" s="333"/>
      <c r="AE30" s="43"/>
      <c r="AF30" s="43"/>
      <c r="AG30" s="43"/>
      <c r="AH30" s="43"/>
      <c r="AI30" s="119"/>
      <c r="AJ30" s="327" t="s">
        <v>162</v>
      </c>
      <c r="AK30" s="334"/>
      <c r="AL30" s="334"/>
      <c r="AM30" s="334"/>
      <c r="AN30" s="328"/>
      <c r="AO30" s="64"/>
      <c r="AP30" s="64"/>
      <c r="AQ30" s="64"/>
      <c r="AR30" s="64"/>
    </row>
    <row r="31" spans="1:44" ht="16.5">
      <c r="A31" s="120"/>
      <c r="B31" s="133" t="s">
        <v>163</v>
      </c>
      <c r="C31" s="155">
        <f>材料表!D25</f>
        <v>0</v>
      </c>
      <c r="D31" s="155">
        <f>材料表!E25</f>
        <v>0</v>
      </c>
      <c r="E31" s="155">
        <f>材料表!F25</f>
        <v>2875000</v>
      </c>
      <c r="F31" s="155">
        <f>材料表!G25</f>
        <v>0</v>
      </c>
      <c r="G31" s="162">
        <f>H58</f>
        <v>0</v>
      </c>
      <c r="H31" s="42" cm="1">
        <f t="array" ref="H31">INT(MIN(_xlfn._xlws.FILTER(原始订单表!$M:$M,(原始订单表!$A:$A=1)*(原始订单表!$B:$B=2)*(原始订单表!$E:$E=G31),0)))</f>
        <v>4608</v>
      </c>
      <c r="I31" s="42" cm="1">
        <f t="array" ref="I31">INT(AVERAGE(_xlfn._xlws.FILTER(原始订单表!$M:$M,(原始订单表!$A:$A=1)*(原始订单表!$B:$B=2)*(原始订单表!$E:$E=G31),0)))</f>
        <v>4608</v>
      </c>
      <c r="J31" s="160" cm="1">
        <f t="array" ref="J31">INT(MAX(_xlfn._xlws.FILTER(原始订单表!$M:$M,(原始订单表!$A:$A=1)*(原始订单表!$B:$B=2)*(原始订单表!$E:$E=G31),0)))</f>
        <v>4608</v>
      </c>
      <c r="K31" s="160" cm="1">
        <f t="array" ref="K31">INT(MIN(_xlfn._xlws.FILTER(原始订单表!$M:$M,(原始订单表!$A:$A=1)*(原始订单表!$B:$B=3)*(原始订单表!$E:$E=G31),0)))</f>
        <v>0</v>
      </c>
      <c r="L31" s="42" cm="1">
        <f t="array" ref="L31">INT(AVERAGE(_xlfn._xlws.FILTER(原始订单表!$M:$M,(原始订单表!$A:$A=1)*(原始订单表!$B:$B=3)*(原始订单表!$E:$E=G31),0)))</f>
        <v>0</v>
      </c>
      <c r="M31" s="42" cm="1">
        <f t="array" ref="M31">INT(MAX(_xlfn._xlws.FILTER(原始订单表!$M:$M,(原始订单表!$A:$A=1)*(原始订单表!$B:$B=3)*(原始订单表!$E:$E=G31),0)))</f>
        <v>0</v>
      </c>
      <c r="N31" s="136" t="s">
        <v>163</v>
      </c>
      <c r="O31" s="156">
        <f>材料表!H25</f>
        <v>2875000</v>
      </c>
      <c r="P31" s="156">
        <f>材料表!I25</f>
        <v>0</v>
      </c>
      <c r="Q31" s="156">
        <f>材料表!J25</f>
        <v>2875000</v>
      </c>
      <c r="R31" s="156">
        <f>材料表!K25</f>
        <v>0</v>
      </c>
      <c r="S31" s="42">
        <f>G31</f>
        <v>0</v>
      </c>
      <c r="T31" s="42" cm="1">
        <f t="array" ref="T31">INT(MIN(_xlfn._xlws.FILTER(原始订单表!$M:$M,(原始订单表!$A:$A=2)*(原始订单表!$B:$B=1)*(原始订单表!$E:$E=S31),0)))</f>
        <v>0</v>
      </c>
      <c r="U31" s="42" cm="1">
        <f t="array" ref="U31">INT(AVERAGE(_xlfn._xlws.FILTER(原始订单表!$M:$M,(原始订单表!$A:$A=2)*(原始订单表!$B:$B=1)*(原始订单表!$E:$E=S31),0)))</f>
        <v>0</v>
      </c>
      <c r="V31" s="42" cm="1">
        <f t="array" ref="V31">INT(MAX(_xlfn._xlws.FILTER(原始订单表!$M:$M,(原始订单表!$A:$A=2)*(原始订单表!$B:$B=1)*(原始订单表!$E:$E=S31),0)))</f>
        <v>0</v>
      </c>
      <c r="W31" s="42" cm="1">
        <f t="array" ref="W31">INT(MIN(_xlfn._xlws.FILTER(原始订单表!$M:$M,(原始订单表!$A:$A=2)*(原始订单表!$B:$B=2)*(原始订单表!$E:$E=S29),0)))</f>
        <v>9257</v>
      </c>
      <c r="X31" s="42" cm="1">
        <f t="array" ref="X31">INT(AVERAGE(_xlfn._xlws.FILTER(原始订单表!$M:$M,(原始订单表!$A:$A=2)*(原始订单表!$B:$B=2)*(原始订单表!$E:$E=S29),0)))</f>
        <v>9450</v>
      </c>
      <c r="Y31" s="163" cm="1">
        <f t="array" ref="Y31">INT(MAX(_xlfn._xlws.FILTER(原始订单表!$M:$M,(原始订单表!$A:$A=2)*(原始订单表!$B:$B=2)*(原始订单表!$E:$E=S29),0)))</f>
        <v>9644</v>
      </c>
      <c r="Z31" s="136" t="s">
        <v>163</v>
      </c>
      <c r="AA31" s="156">
        <f>材料表!L25</f>
        <v>0</v>
      </c>
      <c r="AB31" s="156">
        <f>材料表!M25</f>
        <v>0</v>
      </c>
      <c r="AC31" s="156">
        <f>材料表!N25</f>
        <v>0</v>
      </c>
      <c r="AD31" s="156">
        <f>材料表!O25</f>
        <v>0</v>
      </c>
      <c r="AE31" s="153"/>
      <c r="AF31" s="153"/>
      <c r="AG31" s="153"/>
      <c r="AH31" s="43"/>
      <c r="AI31" s="119"/>
      <c r="AJ31" s="123" t="s">
        <v>163</v>
      </c>
      <c r="AK31" s="158">
        <f>材料表!P25</f>
        <v>0</v>
      </c>
      <c r="AL31" s="158">
        <f>材料表!Q25</f>
        <v>0</v>
      </c>
      <c r="AM31" s="158">
        <f>材料表!R25</f>
        <v>0</v>
      </c>
      <c r="AN31" s="158">
        <f>材料表!S25</f>
        <v>0</v>
      </c>
      <c r="AO31" s="161"/>
      <c r="AP31" s="161"/>
      <c r="AQ31" s="161"/>
      <c r="AR31" s="64"/>
    </row>
    <row r="32" spans="1:44" ht="16.5">
      <c r="A32" s="120"/>
      <c r="B32" s="133" t="s">
        <v>164</v>
      </c>
      <c r="C32" s="155">
        <f>生产建设!I51</f>
        <v>1000000</v>
      </c>
      <c r="D32" s="155">
        <f>生产建设!J51</f>
        <v>0</v>
      </c>
      <c r="E32" s="155">
        <f>生产建设!K51</f>
        <v>0</v>
      </c>
      <c r="F32" s="155">
        <f>生产建设!L51</f>
        <v>0</v>
      </c>
      <c r="G32" s="43"/>
      <c r="H32" s="43"/>
      <c r="I32" s="43"/>
      <c r="J32" s="43"/>
      <c r="K32" s="142"/>
      <c r="L32" s="43"/>
      <c r="M32" s="43"/>
      <c r="N32" s="136" t="s">
        <v>164</v>
      </c>
      <c r="O32" s="156">
        <f>生产建设!M51</f>
        <v>0</v>
      </c>
      <c r="P32" s="156">
        <f>生产建设!N51</f>
        <v>0</v>
      </c>
      <c r="Q32" s="156">
        <f>生产建设!O51</f>
        <v>0</v>
      </c>
      <c r="R32" s="156">
        <f>生产建设!P51</f>
        <v>0</v>
      </c>
      <c r="W32" s="42" cm="1">
        <f t="array" ref="W32">INT(MIN(_xlfn._xlws.FILTER(原始订单表!$M:$M,(原始订单表!$A:$A=2)*(原始订单表!$B:$B=2)*(原始订单表!$E:$E=S30),0)))</f>
        <v>12740</v>
      </c>
      <c r="X32" s="42" cm="1">
        <f t="array" ref="X32">INT(AVERAGE(_xlfn._xlws.FILTER(原始订单表!$M:$M,(原始订单表!$A:$A=2)*(原始订单表!$B:$B=2)*(原始订单表!$E:$E=S30),0)))</f>
        <v>12901</v>
      </c>
      <c r="Y32" s="163" cm="1">
        <f t="array" ref="Y32">INT(MAX(_xlfn._xlws.FILTER(原始订单表!$M:$M,(原始订单表!$A:$A=2)*(原始订单表!$B:$B=2)*(原始订单表!$E:$E=S30),0)))</f>
        <v>13063</v>
      </c>
      <c r="Z32" s="136" t="s">
        <v>164</v>
      </c>
      <c r="AA32" s="156">
        <f>生产建设!Q51</f>
        <v>0</v>
      </c>
      <c r="AB32" s="156">
        <f>生产建设!R51</f>
        <v>0</v>
      </c>
      <c r="AC32" s="156">
        <f>生产建设!S51</f>
        <v>0</v>
      </c>
      <c r="AD32" s="156">
        <f>生产建设!T51</f>
        <v>0</v>
      </c>
      <c r="AE32" s="153"/>
      <c r="AF32" s="153"/>
      <c r="AG32" s="153"/>
      <c r="AH32" s="43"/>
      <c r="AI32" s="119"/>
      <c r="AJ32" s="123" t="s">
        <v>164</v>
      </c>
      <c r="AK32" s="158">
        <f>生产建设!U52</f>
        <v>0</v>
      </c>
      <c r="AL32" s="158">
        <f>生产建设!V52</f>
        <v>0</v>
      </c>
      <c r="AM32" s="158">
        <f>生产建设!W52</f>
        <v>0</v>
      </c>
      <c r="AN32" s="158">
        <f>生产建设!X52</f>
        <v>0</v>
      </c>
      <c r="AO32" s="161"/>
      <c r="AP32" s="161"/>
      <c r="AQ32" s="161"/>
      <c r="AR32" s="64"/>
    </row>
    <row r="33" spans="1:44" ht="16.5">
      <c r="A33" s="120"/>
      <c r="B33" s="133" t="s">
        <v>126</v>
      </c>
      <c r="C33" s="134"/>
      <c r="D33" s="134"/>
      <c r="E33" s="134"/>
      <c r="F33" s="159"/>
      <c r="G33" s="43"/>
      <c r="H33" s="164"/>
      <c r="M33" s="43"/>
      <c r="N33" s="136" t="s">
        <v>126</v>
      </c>
      <c r="O33" s="138"/>
      <c r="P33" s="138"/>
      <c r="Q33" s="138"/>
      <c r="R33" s="40"/>
      <c r="W33" s="42" cm="1">
        <f t="array" ref="W33">INT(MIN(_xlfn._xlws.FILTER(原始订单表!$M:$M,(原始订单表!$A:$A=2)*(原始订单表!$B:$B=2)*(原始订单表!$E:$E=S31),0)))</f>
        <v>0</v>
      </c>
      <c r="X33" s="42" cm="1">
        <f t="array" ref="X33">INT(AVERAGE(_xlfn._xlws.FILTER(原始订单表!$M:$M,(原始订单表!$A:$A=2)*(原始订单表!$B:$B=2)*(原始订单表!$E:$E=S31),0)))</f>
        <v>0</v>
      </c>
      <c r="Y33" s="163" cm="1">
        <f t="array" ref="Y33">INT(MAX(_xlfn._xlws.FILTER(原始订单表!$M:$M,(原始订单表!$A:$A=2)*(原始订单表!$B:$B=2)*(原始订单表!$E:$E=S31),0)))</f>
        <v>0</v>
      </c>
      <c r="Z33" s="136" t="s">
        <v>126</v>
      </c>
      <c r="AA33" s="165"/>
      <c r="AB33" s="165"/>
      <c r="AC33" s="165"/>
      <c r="AD33" s="165"/>
      <c r="AE33" s="153"/>
      <c r="AF33" s="153"/>
      <c r="AG33" s="153"/>
      <c r="AH33" s="166"/>
      <c r="AI33" s="119"/>
      <c r="AJ33" s="123" t="s">
        <v>126</v>
      </c>
      <c r="AK33" s="139"/>
      <c r="AL33" s="139"/>
      <c r="AM33" s="139"/>
      <c r="AN33" s="139"/>
      <c r="AO33" s="161"/>
      <c r="AP33" s="161"/>
      <c r="AQ33" s="161"/>
      <c r="AR33" s="167"/>
    </row>
    <row r="34" spans="1:44" ht="16.5">
      <c r="A34" s="120"/>
      <c r="B34" s="133" t="s">
        <v>139</v>
      </c>
      <c r="C34" s="159"/>
      <c r="D34" s="134"/>
      <c r="E34" s="134"/>
      <c r="F34" s="159"/>
      <c r="G34" s="43"/>
      <c r="H34" s="43"/>
      <c r="M34" s="43"/>
      <c r="N34" s="136" t="s">
        <v>139</v>
      </c>
      <c r="O34" s="43"/>
      <c r="P34" s="138"/>
      <c r="Q34" s="138"/>
      <c r="R34" s="138"/>
      <c r="S34" s="43"/>
      <c r="T34" s="43"/>
      <c r="U34" s="43"/>
      <c r="V34" s="43"/>
      <c r="W34" s="43"/>
      <c r="X34" s="43"/>
      <c r="Y34" s="43"/>
      <c r="Z34" s="136" t="s">
        <v>139</v>
      </c>
      <c r="AA34" s="165"/>
      <c r="AB34" s="165"/>
      <c r="AC34" s="165"/>
      <c r="AD34" s="165"/>
      <c r="AE34" s="153"/>
      <c r="AF34" s="336"/>
      <c r="AG34" s="336"/>
      <c r="AH34" s="43"/>
      <c r="AI34" s="119"/>
      <c r="AJ34" s="123" t="s">
        <v>139</v>
      </c>
      <c r="AK34" s="139"/>
      <c r="AL34" s="139"/>
      <c r="AM34" s="139"/>
      <c r="AN34" s="139"/>
      <c r="AO34" s="161"/>
      <c r="AP34" s="335"/>
      <c r="AQ34" s="335"/>
      <c r="AR34" s="64"/>
    </row>
    <row r="35" spans="1:44" ht="16.5">
      <c r="A35" s="120"/>
      <c r="B35" s="133" t="s">
        <v>165</v>
      </c>
      <c r="C35" s="155">
        <f>生产建设!I56</f>
        <v>0</v>
      </c>
      <c r="D35" s="155">
        <f>生产建设!J56</f>
        <v>0</v>
      </c>
      <c r="E35" s="155">
        <f>生产建设!K56</f>
        <v>0</v>
      </c>
      <c r="F35" s="155">
        <f>生产建设!L56</f>
        <v>0</v>
      </c>
      <c r="G35" s="43"/>
      <c r="H35" s="168" t="s">
        <v>166</v>
      </c>
      <c r="I35" s="168" t="str">
        <f>规则表!B35</f>
        <v>传统线</v>
      </c>
      <c r="J35" s="168" t="str">
        <f>规则表!C35</f>
        <v>自动线</v>
      </c>
      <c r="K35" s="168" t="str">
        <f>规则表!D35</f>
        <v>智能线</v>
      </c>
      <c r="M35" s="43"/>
      <c r="N35" s="136" t="s">
        <v>165</v>
      </c>
      <c r="O35" s="156">
        <f>生产建设!M56</f>
        <v>0</v>
      </c>
      <c r="P35" s="156">
        <f>生产建设!N56</f>
        <v>0</v>
      </c>
      <c r="Q35" s="156">
        <f>生产建设!O56</f>
        <v>0</v>
      </c>
      <c r="R35" s="156">
        <f>生产建设!P56</f>
        <v>0</v>
      </c>
      <c r="S35" s="43"/>
      <c r="T35" s="43"/>
      <c r="U35" s="43"/>
      <c r="V35" s="43"/>
      <c r="W35" s="43"/>
      <c r="X35" s="43"/>
      <c r="Y35" s="43"/>
      <c r="Z35" s="136" t="s">
        <v>165</v>
      </c>
      <c r="AA35" s="169">
        <f>生产建设!Q56</f>
        <v>0</v>
      </c>
      <c r="AB35" s="169">
        <f>生产建设!R56</f>
        <v>0</v>
      </c>
      <c r="AC35" s="169">
        <f>生产建设!S56</f>
        <v>0</v>
      </c>
      <c r="AD35" s="169">
        <f>生产建设!T56</f>
        <v>0</v>
      </c>
      <c r="AE35" s="153"/>
      <c r="AF35" s="336"/>
      <c r="AG35" s="336"/>
      <c r="AH35" s="43"/>
      <c r="AI35" s="119"/>
      <c r="AJ35" s="123" t="s">
        <v>165</v>
      </c>
      <c r="AK35" s="158">
        <f>生产建设!U56</f>
        <v>0</v>
      </c>
      <c r="AL35" s="158">
        <f>生产建设!V56</f>
        <v>0</v>
      </c>
      <c r="AM35" s="158">
        <f>生产建设!W56</f>
        <v>0</v>
      </c>
      <c r="AN35" s="158">
        <f>生产建设!X56</f>
        <v>0</v>
      </c>
      <c r="AO35" s="161"/>
      <c r="AP35" s="335"/>
      <c r="AQ35" s="335"/>
      <c r="AR35" s="64"/>
    </row>
    <row r="36" spans="1:44" ht="16.5">
      <c r="A36" s="120"/>
      <c r="B36" s="133" t="s">
        <v>167</v>
      </c>
      <c r="C36" s="155"/>
      <c r="D36" s="155">
        <f>材料表!E26</f>
        <v>0</v>
      </c>
      <c r="E36" s="155">
        <f>材料表!F26</f>
        <v>125000</v>
      </c>
      <c r="F36" s="155">
        <f>材料表!G26</f>
        <v>0</v>
      </c>
      <c r="G36" s="170"/>
      <c r="H36" s="171" t="str">
        <f>规则表!A36</f>
        <v>P1</v>
      </c>
      <c r="I36" s="168">
        <f>规则表!B36</f>
        <v>748.8</v>
      </c>
      <c r="J36" s="168">
        <f>规则表!C36</f>
        <v>676.28205128205127</v>
      </c>
      <c r="K36" s="168">
        <f>规则表!D36</f>
        <v>770.36082474226805</v>
      </c>
      <c r="M36" s="43"/>
      <c r="N36" s="136" t="s">
        <v>167</v>
      </c>
      <c r="O36" s="156">
        <f>材料表!H26</f>
        <v>125000</v>
      </c>
      <c r="P36" s="156">
        <f>材料表!I26</f>
        <v>0</v>
      </c>
      <c r="Q36" s="156">
        <f>材料表!J26</f>
        <v>125000</v>
      </c>
      <c r="R36" s="156">
        <f>材料表!K26</f>
        <v>0</v>
      </c>
      <c r="S36" s="43"/>
      <c r="X36" s="43"/>
      <c r="Y36" s="43"/>
      <c r="Z36" s="136" t="s">
        <v>167</v>
      </c>
      <c r="AA36" s="156">
        <f>材料表!L26</f>
        <v>0</v>
      </c>
      <c r="AB36" s="156">
        <f>材料表!M26</f>
        <v>0</v>
      </c>
      <c r="AC36" s="156">
        <f>材料表!N26</f>
        <v>0</v>
      </c>
      <c r="AD36" s="156">
        <f>材料表!O26</f>
        <v>0</v>
      </c>
      <c r="AE36" s="153"/>
      <c r="AF36" s="336"/>
      <c r="AG36" s="336"/>
      <c r="AH36" s="43"/>
      <c r="AI36" s="119"/>
      <c r="AJ36" s="123" t="s">
        <v>167</v>
      </c>
      <c r="AK36" s="158">
        <f>材料表!P26</f>
        <v>0</v>
      </c>
      <c r="AL36" s="158">
        <f>材料表!Q26</f>
        <v>0</v>
      </c>
      <c r="AM36" s="158">
        <f>材料表!R26</f>
        <v>0</v>
      </c>
      <c r="AN36" s="158">
        <f>材料表!S26</f>
        <v>0</v>
      </c>
      <c r="AO36" s="161"/>
      <c r="AP36" s="335"/>
      <c r="AQ36" s="335"/>
      <c r="AR36" s="64"/>
    </row>
    <row r="37" spans="1:44" ht="16.5">
      <c r="A37" s="120"/>
      <c r="B37" s="172" t="s">
        <v>168</v>
      </c>
      <c r="C37" s="159"/>
      <c r="D37" s="159"/>
      <c r="E37" s="159"/>
      <c r="F37" s="159"/>
      <c r="G37" s="43"/>
      <c r="H37" s="173" t="str">
        <f>规则表!A37</f>
        <v>P2</v>
      </c>
      <c r="I37" s="174">
        <f>规则表!B37</f>
        <v>1148.8</v>
      </c>
      <c r="J37" s="174">
        <f>规则表!C37</f>
        <v>1076.2820512820513</v>
      </c>
      <c r="K37" s="174">
        <f>规则表!D37</f>
        <v>1170.3608247422681</v>
      </c>
      <c r="M37" s="43"/>
      <c r="N37" s="175" t="s">
        <v>168</v>
      </c>
      <c r="O37" s="165">
        <f ca="1">生产建设!M52</f>
        <v>0</v>
      </c>
      <c r="P37" s="165">
        <f ca="1">生产建设!N52</f>
        <v>0</v>
      </c>
      <c r="Q37" s="165">
        <f ca="1">生产建设!O52</f>
        <v>0</v>
      </c>
      <c r="R37" s="165">
        <f ca="1">生产建设!P52</f>
        <v>0</v>
      </c>
      <c r="S37" s="43"/>
      <c r="T37" s="176" t="s">
        <v>166</v>
      </c>
      <c r="U37" s="168" t="str">
        <f>U17</f>
        <v>利润留存</v>
      </c>
      <c r="V37" s="168" t="str">
        <f>U18</f>
        <v>年度净利</v>
      </c>
      <c r="W37" s="168" t="str">
        <f>U19</f>
        <v>权益合计</v>
      </c>
      <c r="X37" s="43"/>
      <c r="Y37" s="43"/>
      <c r="Z37" s="175" t="s">
        <v>168</v>
      </c>
      <c r="AA37" s="138"/>
      <c r="AB37" s="138"/>
      <c r="AC37" s="138"/>
      <c r="AD37" s="138"/>
      <c r="AE37" s="153"/>
      <c r="AF37" s="336"/>
      <c r="AG37" s="336"/>
      <c r="AH37" s="43"/>
      <c r="AI37" s="119"/>
      <c r="AJ37" s="177" t="s">
        <v>168</v>
      </c>
      <c r="AK37" s="139"/>
      <c r="AL37" s="139"/>
      <c r="AM37" s="139"/>
      <c r="AN37" s="139"/>
      <c r="AO37" s="161"/>
      <c r="AP37" s="335"/>
      <c r="AQ37" s="335"/>
      <c r="AR37" s="64"/>
    </row>
    <row r="38" spans="1:44" ht="16.5">
      <c r="A38" s="120"/>
      <c r="B38" s="133" t="s">
        <v>161</v>
      </c>
      <c r="C38" s="133">
        <f>SUM(C31:C36)</f>
        <v>1000000</v>
      </c>
      <c r="D38" s="133">
        <f>SUM(D31:D36)</f>
        <v>0</v>
      </c>
      <c r="E38" s="133">
        <f>SUM(E31:E36)</f>
        <v>3000000</v>
      </c>
      <c r="F38" s="133">
        <f>SUM(F31:F36)</f>
        <v>0</v>
      </c>
      <c r="G38" s="43"/>
      <c r="H38" s="173" t="str">
        <f>规则表!A38</f>
        <v>P3</v>
      </c>
      <c r="I38" s="174">
        <f>规则表!B38</f>
        <v>1748.8</v>
      </c>
      <c r="J38" s="174">
        <f>规则表!C38</f>
        <v>1676.2820512820513</v>
      </c>
      <c r="K38" s="174">
        <f>规则表!D38</f>
        <v>1770.3608247422681</v>
      </c>
      <c r="M38" s="43"/>
      <c r="N38" s="136" t="s">
        <v>161</v>
      </c>
      <c r="O38" s="136">
        <f>SUM(O31:O36)</f>
        <v>3000000</v>
      </c>
      <c r="P38" s="136">
        <f>SUM(P31:P36)</f>
        <v>0</v>
      </c>
      <c r="Q38" s="136">
        <f>SUM(Q31:Q36)</f>
        <v>3000000</v>
      </c>
      <c r="R38" s="136">
        <f>SUM(R31:R36)</f>
        <v>0</v>
      </c>
      <c r="S38" s="43"/>
      <c r="T38" s="171" t="str">
        <f t="shared" ref="T38:W42" si="11">H36</f>
        <v>P1</v>
      </c>
      <c r="U38" s="168">
        <f t="shared" si="11"/>
        <v>748.8</v>
      </c>
      <c r="V38" s="168">
        <f t="shared" si="11"/>
        <v>676.28205128205127</v>
      </c>
      <c r="W38" s="168">
        <f t="shared" si="11"/>
        <v>770.36082474226805</v>
      </c>
      <c r="X38" s="43"/>
      <c r="Y38" s="43"/>
      <c r="Z38" s="136" t="s">
        <v>161</v>
      </c>
      <c r="AA38" s="136">
        <f>SUM(AA31:AA36)</f>
        <v>0</v>
      </c>
      <c r="AB38" s="136">
        <f>SUM(AB31:AB36)</f>
        <v>0</v>
      </c>
      <c r="AC38" s="136">
        <f>SUM(AC31:AC36)</f>
        <v>0</v>
      </c>
      <c r="AD38" s="136">
        <f>SUM(AD31:AD36)</f>
        <v>0</v>
      </c>
      <c r="AE38" s="153"/>
      <c r="AF38" s="336"/>
      <c r="AG38" s="336"/>
      <c r="AH38" s="43"/>
      <c r="AI38" s="119"/>
      <c r="AJ38" s="123" t="s">
        <v>161</v>
      </c>
      <c r="AK38" s="123">
        <f t="shared" ref="AK38:AN38" si="12">SUM(AK31:AK36)</f>
        <v>0</v>
      </c>
      <c r="AL38" s="123">
        <f t="shared" si="12"/>
        <v>0</v>
      </c>
      <c r="AM38" s="123">
        <f t="shared" si="12"/>
        <v>0</v>
      </c>
      <c r="AN38" s="123">
        <f t="shared" si="12"/>
        <v>0</v>
      </c>
      <c r="AO38" s="161"/>
      <c r="AP38" s="335"/>
      <c r="AQ38" s="335"/>
      <c r="AR38" s="64"/>
    </row>
    <row r="39" spans="1:44" ht="16.5">
      <c r="A39" s="120"/>
      <c r="B39" s="329" t="s">
        <v>169</v>
      </c>
      <c r="C39" s="329"/>
      <c r="D39" s="329"/>
      <c r="E39" s="329"/>
      <c r="F39" s="329"/>
      <c r="G39" s="43"/>
      <c r="H39" s="173" t="str">
        <f>规则表!A39</f>
        <v>P4</v>
      </c>
      <c r="I39" s="174">
        <f>规则表!B39</f>
        <v>2548.8000000000002</v>
      </c>
      <c r="J39" s="174">
        <f>规则表!C39</f>
        <v>2476.2820512820513</v>
      </c>
      <c r="K39" s="174">
        <f>规则表!D39</f>
        <v>2570.3608247422681</v>
      </c>
      <c r="L39" s="43"/>
      <c r="M39" s="43"/>
      <c r="N39" s="330" t="s">
        <v>169</v>
      </c>
      <c r="O39" s="331"/>
      <c r="P39" s="331"/>
      <c r="Q39" s="331"/>
      <c r="R39" s="332"/>
      <c r="S39" s="43"/>
      <c r="T39" s="173" t="str">
        <f t="shared" si="11"/>
        <v>P2</v>
      </c>
      <c r="U39" s="174">
        <f t="shared" si="11"/>
        <v>1148.8</v>
      </c>
      <c r="V39" s="174">
        <f t="shared" si="11"/>
        <v>1076.2820512820513</v>
      </c>
      <c r="W39" s="174">
        <f t="shared" si="11"/>
        <v>1170.3608247422681</v>
      </c>
      <c r="X39" s="43"/>
      <c r="Y39" s="43"/>
      <c r="Z39" s="333" t="s">
        <v>169</v>
      </c>
      <c r="AA39" s="333"/>
      <c r="AB39" s="333"/>
      <c r="AC39" s="333"/>
      <c r="AD39" s="333"/>
      <c r="AE39" s="153"/>
      <c r="AF39" s="153"/>
      <c r="AG39" s="153"/>
      <c r="AH39" s="43"/>
      <c r="AI39" s="119"/>
      <c r="AJ39" s="327" t="s">
        <v>169</v>
      </c>
      <c r="AK39" s="334"/>
      <c r="AL39" s="334"/>
      <c r="AM39" s="334"/>
      <c r="AN39" s="328"/>
      <c r="AO39" s="161"/>
      <c r="AP39" s="161"/>
      <c r="AQ39" s="161"/>
      <c r="AR39" s="64"/>
    </row>
    <row r="40" spans="1:44" ht="16.5">
      <c r="A40" s="120"/>
      <c r="B40" s="133" t="s">
        <v>119</v>
      </c>
      <c r="C40" s="155" cm="1">
        <f t="array" ref="C40">SUM(IF($K$54:$K$58&lt;=1,$I$54:$I$58,0))</f>
        <v>210000</v>
      </c>
      <c r="D40" s="155" cm="1">
        <f t="array" ref="D40">SUM(IF($K$54:$K$58=2,$I$54:$I$58,0))</f>
        <v>0</v>
      </c>
      <c r="E40" s="155" cm="1">
        <f t="array" ref="E40">SUM(IF($K$54:$K$58=3,$I$54:$I$58,0))</f>
        <v>0</v>
      </c>
      <c r="F40" s="155" cm="1">
        <f t="array" ref="F40">SUM(IF($K$54:$K$58=4,$I$54:$I$58,0))</f>
        <v>0</v>
      </c>
      <c r="G40" s="43"/>
      <c r="H40" s="178">
        <f>规则表!A40</f>
        <v>0</v>
      </c>
      <c r="I40" s="179">
        <f>规则表!B40</f>
        <v>248.8</v>
      </c>
      <c r="J40" s="179">
        <f>规则表!C40</f>
        <v>176.28205128205127</v>
      </c>
      <c r="K40" s="179">
        <f>规则表!D40</f>
        <v>270.36082474226805</v>
      </c>
      <c r="L40" s="43"/>
      <c r="M40" s="43"/>
      <c r="N40" s="136" t="s">
        <v>119</v>
      </c>
      <c r="O40" s="156" cm="1">
        <f t="array" ref="O40">SUM(IF($K$54:$K$58=5,$I$54:$I$58,0))</f>
        <v>0</v>
      </c>
      <c r="P40" s="156" cm="1">
        <f t="array" ref="P40">SUM(IF($K$54:$K$58=6,$I$54:$I$58,0))</f>
        <v>0</v>
      </c>
      <c r="Q40" s="156" cm="1">
        <f t="array" ref="Q40">SUM(IF($K$54:$K$58=7,$I$54:$I$58,0))</f>
        <v>0</v>
      </c>
      <c r="R40" s="156" cm="1">
        <f t="array" ref="R40">SUM(IF($K$54:$K$58=8,$I$54:$I$58,0))</f>
        <v>0</v>
      </c>
      <c r="S40" s="43"/>
      <c r="T40" s="173" t="str">
        <f t="shared" si="11"/>
        <v>P3</v>
      </c>
      <c r="U40" s="174">
        <f t="shared" si="11"/>
        <v>1748.8</v>
      </c>
      <c r="V40" s="174">
        <f t="shared" si="11"/>
        <v>1676.2820512820513</v>
      </c>
      <c r="W40" s="174">
        <f t="shared" si="11"/>
        <v>1770.3608247422681</v>
      </c>
      <c r="X40" s="43"/>
      <c r="Y40" s="43"/>
      <c r="Z40" s="136" t="s">
        <v>119</v>
      </c>
      <c r="AA40" s="156" cm="1">
        <f t="array" ref="AA40">SUM(IF($K$54:$K$58=9,$I$54:$I$58,0))</f>
        <v>0</v>
      </c>
      <c r="AB40" s="156" cm="1">
        <f t="array" ref="AB40">SUM(IF($K$54:$K$58=10,$I$54:$I$58,0))</f>
        <v>0</v>
      </c>
      <c r="AC40" s="156" cm="1">
        <f t="array" ref="AC40">SUM(IF($K$54:$K$58=11,$I$54:$I$58,0))</f>
        <v>0</v>
      </c>
      <c r="AD40" s="156" cm="1">
        <f t="array" ref="AD40">SUM(IF($K$54:$K$58=12,$I$54:$I$58,0))</f>
        <v>0</v>
      </c>
      <c r="AE40" s="153"/>
      <c r="AF40" s="336"/>
      <c r="AG40" s="336"/>
      <c r="AH40" s="43"/>
      <c r="AI40" s="119"/>
      <c r="AJ40" s="123" t="s">
        <v>119</v>
      </c>
      <c r="AK40" s="158" cm="1">
        <f t="array" ref="AK40">SUM(IF($K$54:$K$58=13,$I$54:$I$58,0))</f>
        <v>0</v>
      </c>
      <c r="AL40" s="158" cm="1">
        <f t="array" ref="AL40">SUM(IF($K$54:$K$58=14,$I$54:$I$58,0))</f>
        <v>0</v>
      </c>
      <c r="AM40" s="158" cm="1">
        <f t="array" ref="AM40">SUM(IF($K$54:$K$58=15,$I$54:$I$58,0))</f>
        <v>0</v>
      </c>
      <c r="AN40" s="158" cm="1">
        <f t="array" ref="AN40">SUM(IF($K$54:$K$58=16,$I$54:$I$58,0))</f>
        <v>0</v>
      </c>
      <c r="AO40" s="161"/>
      <c r="AP40" s="335"/>
      <c r="AQ40" s="335"/>
      <c r="AR40" s="64"/>
    </row>
    <row r="41" spans="1:44" ht="16.5">
      <c r="A41" s="120"/>
      <c r="B41" s="133" t="s">
        <v>116</v>
      </c>
      <c r="C41" s="180" cm="1">
        <f t="array" ref="C41">SUM(IF($K$61:$K$65&lt;=1,$I$61:$I$65,0))</f>
        <v>140000</v>
      </c>
      <c r="D41" s="180" cm="1">
        <f t="array" ref="D41">SUM(IF($K$61:$K$65=2,$I$61:$I$65,0))</f>
        <v>100000</v>
      </c>
      <c r="E41" s="180" cm="1">
        <f t="array" ref="E41">SUM(IF($K$61:$K$65=3,$I$61:$I$65,0))</f>
        <v>0</v>
      </c>
      <c r="F41" s="180" cm="1">
        <f t="array" ref="F41">SUM(IF($K$61:$K$65=4,$I$61:$I$65,0))</f>
        <v>0</v>
      </c>
      <c r="G41" s="153"/>
      <c r="H41" s="153"/>
      <c r="I41" s="153"/>
      <c r="J41" s="43"/>
      <c r="K41" s="142"/>
      <c r="L41" s="43"/>
      <c r="M41" s="43"/>
      <c r="N41" s="136" t="s">
        <v>116</v>
      </c>
      <c r="O41" s="156" cm="1">
        <f t="array" ref="O41">SUM(IF($K$61:$K$65=5,$I$61:$I$65,0))</f>
        <v>0</v>
      </c>
      <c r="P41" s="156" cm="1">
        <f t="array" ref="P41">SUM(IF($K$61:$K$65=6,$I$61:$I$65,0))</f>
        <v>0</v>
      </c>
      <c r="Q41" s="156" cm="1">
        <f t="array" ref="Q41">SUM(IF($K$61:$K$65=7,$I$61:$I$65,0))</f>
        <v>0</v>
      </c>
      <c r="R41" s="156" cm="1">
        <f t="array" ref="R41">SUM(IF($K$61:$K$65=8,$I$61:$I$65,0))</f>
        <v>0</v>
      </c>
      <c r="S41" s="43"/>
      <c r="T41" s="173" t="str">
        <f t="shared" si="11"/>
        <v>P4</v>
      </c>
      <c r="U41" s="174">
        <f t="shared" si="11"/>
        <v>2548.8000000000002</v>
      </c>
      <c r="V41" s="174">
        <f t="shared" si="11"/>
        <v>2476.2820512820513</v>
      </c>
      <c r="W41" s="174">
        <f t="shared" si="11"/>
        <v>2570.3608247422681</v>
      </c>
      <c r="X41" s="43"/>
      <c r="Y41" s="43"/>
      <c r="Z41" s="136" t="s">
        <v>116</v>
      </c>
      <c r="AA41" s="156" cm="1">
        <f t="array" ref="AA41">SUM(IF($K$54:$K$58=9,$I$54:$I$58,0))</f>
        <v>0</v>
      </c>
      <c r="AB41" s="156" cm="1">
        <f t="array" ref="AB41">SUM(IF($K$54:$K$58=10,$I$54:$I$58,0))</f>
        <v>0</v>
      </c>
      <c r="AC41" s="156" cm="1">
        <f t="array" ref="AC41">SUM(IF($K$54:$K$58=11,$I$54:$I$58,0))</f>
        <v>0</v>
      </c>
      <c r="AD41" s="156" cm="1">
        <f t="array" ref="AD41">SUM(IF($K$54:$K$58=12,$I$54:$I$58,0))</f>
        <v>0</v>
      </c>
      <c r="AE41" s="153"/>
      <c r="AF41" s="336"/>
      <c r="AG41" s="336"/>
      <c r="AH41" s="43"/>
      <c r="AI41" s="119"/>
      <c r="AJ41" s="123" t="s">
        <v>116</v>
      </c>
      <c r="AK41" s="158" cm="1">
        <f t="array" ref="AK41">SUM(IF($K$54:$K$58=13,$I$54:$I$58,0))</f>
        <v>0</v>
      </c>
      <c r="AL41" s="158" cm="1">
        <f t="array" ref="AL41">SUM(IF($K$54:$K$58=14,$I$54:$I$58,0))</f>
        <v>0</v>
      </c>
      <c r="AM41" s="158" cm="1">
        <f t="array" ref="AM41">SUM(IF($K$54:$K$58=15,$I$54:$I$58,0))</f>
        <v>0</v>
      </c>
      <c r="AN41" s="158" cm="1">
        <f t="array" ref="AN41">SUM(IF($K$54:$K$58=16,$I$54:$I$58,0))</f>
        <v>0</v>
      </c>
      <c r="AO41" s="161"/>
      <c r="AP41" s="335"/>
      <c r="AQ41" s="335"/>
      <c r="AR41" s="64"/>
    </row>
    <row r="42" spans="1:44" ht="16.5">
      <c r="A42" s="120"/>
      <c r="B42" s="133" t="s">
        <v>170</v>
      </c>
      <c r="C42" s="180" cm="1">
        <f t="array" ref="C42">SUM(IF($K$68:$K$72&lt;=1,$I$68:$I$72,0))</f>
        <v>240003</v>
      </c>
      <c r="D42" s="180" cm="1">
        <f t="array" ref="D42">SUM(IF($K$68:$K$72=2,$I$68:$I$72,0))</f>
        <v>0</v>
      </c>
      <c r="E42" s="180" cm="1">
        <f t="array" ref="E42">SUM(IF($K$68:$K$72=3,$I$68:$I$72,0))</f>
        <v>0</v>
      </c>
      <c r="F42" s="180" cm="1">
        <f t="array" ref="F42">SUM(IF($K$68:$K$72=4,$I$68:$I$72,0))</f>
        <v>0</v>
      </c>
      <c r="G42" s="153"/>
      <c r="H42" s="168" t="str">
        <f>规则表!A43</f>
        <v>12小时</v>
      </c>
      <c r="I42" s="168" t="str">
        <f>规则表!B43</f>
        <v>传统线</v>
      </c>
      <c r="J42" s="168" t="str">
        <f>规则表!C43</f>
        <v>自动线</v>
      </c>
      <c r="K42" s="168" t="str">
        <f>规则表!D43</f>
        <v>智能线</v>
      </c>
      <c r="L42" s="43"/>
      <c r="M42" s="43"/>
      <c r="N42" s="136" t="s">
        <v>170</v>
      </c>
      <c r="O42" s="156" cm="1">
        <f t="array" ref="O42">SUM(IF($K$68:$K$72=5,$I$68:$I$72,0))</f>
        <v>0</v>
      </c>
      <c r="P42" s="156" cm="1">
        <f t="array" ref="P42">SUM(IF($K$68:$K$72=6,$I$68:$I$72,0))</f>
        <v>0</v>
      </c>
      <c r="Q42" s="156" cm="1">
        <f t="array" ref="Q42">SUM(IF($K$68:$K$72=7,$I$68:$I$72,0))</f>
        <v>0</v>
      </c>
      <c r="R42" s="156" cm="1">
        <f t="array" ref="R42">SUM(IF($K$68:$K$72=8,$I$68:$I$72,0))</f>
        <v>0</v>
      </c>
      <c r="S42" s="43"/>
      <c r="T42" s="178">
        <f t="shared" si="11"/>
        <v>0</v>
      </c>
      <c r="U42" s="179">
        <f t="shared" si="11"/>
        <v>248.8</v>
      </c>
      <c r="V42" s="179">
        <f t="shared" si="11"/>
        <v>176.28205128205127</v>
      </c>
      <c r="W42" s="179">
        <f t="shared" si="11"/>
        <v>270.36082474226805</v>
      </c>
      <c r="X42" s="43"/>
      <c r="Y42" s="43"/>
      <c r="Z42" s="136" t="s">
        <v>170</v>
      </c>
      <c r="AA42" s="156" cm="1">
        <f t="array" ref="AA42">SUM(IF($K$68:$K$72=9,$I$68:$I$72,0))</f>
        <v>0</v>
      </c>
      <c r="AB42" s="156" cm="1">
        <f t="array" ref="AB42">SUM(IF($K$68:$K$72=10,$I$68:$I$72,0))</f>
        <v>0</v>
      </c>
      <c r="AC42" s="156" cm="1">
        <f t="array" ref="AC42">SUM(IF($K$68:$K$72=11,$I$68:$I$72,0))</f>
        <v>0</v>
      </c>
      <c r="AD42" s="156" cm="1">
        <f t="array" ref="AD42">SUM(IF($K$68:$K$72=12,$I$68:$I$72,0))</f>
        <v>0</v>
      </c>
      <c r="AE42" s="43"/>
      <c r="AF42" s="43"/>
      <c r="AG42" s="43"/>
      <c r="AH42" s="43"/>
      <c r="AI42" s="119"/>
      <c r="AJ42" s="123" t="s">
        <v>170</v>
      </c>
      <c r="AK42" s="158" cm="1">
        <f t="array" ref="AK42">SUM(IF($K$68:$K$72=13,$I$68:$I$72,0))</f>
        <v>0</v>
      </c>
      <c r="AL42" s="158" cm="1">
        <f t="array" ref="AL42">SUM(IF($K$68:$K$72=14,$I$68:$I$72,0))</f>
        <v>0</v>
      </c>
      <c r="AM42" s="158" cm="1">
        <f t="array" ref="AM42">SUM(IF($K$68:$K$72=15,$I$68:$I$72,0))</f>
        <v>0</v>
      </c>
      <c r="AN42" s="158" cm="1">
        <f t="array" ref="AN42">SUM(IF($K$68:$K$72=16,$I$68:$I$72,0))</f>
        <v>0</v>
      </c>
      <c r="AO42" s="64"/>
      <c r="AP42" s="64"/>
      <c r="AQ42" s="64"/>
      <c r="AR42" s="64"/>
    </row>
    <row r="43" spans="1:44" ht="16.5">
      <c r="A43" s="120"/>
      <c r="B43" s="133" t="s">
        <v>171</v>
      </c>
      <c r="C43" s="134"/>
      <c r="D43" s="134"/>
      <c r="E43" s="134"/>
      <c r="F43" s="134"/>
      <c r="G43" s="43"/>
      <c r="H43" s="171" t="str">
        <f>规则表!A44</f>
        <v>P1</v>
      </c>
      <c r="I43" s="168">
        <f>规则表!B44</f>
        <v>743.33333333333337</v>
      </c>
      <c r="J43" s="168">
        <f>规则表!C44</f>
        <v>748.40425531914889</v>
      </c>
      <c r="K43" s="168">
        <f>规则表!D44</f>
        <v>847.22222222222217</v>
      </c>
      <c r="L43" s="43"/>
      <c r="M43" s="43"/>
      <c r="N43" s="136" t="s">
        <v>171</v>
      </c>
      <c r="O43" s="138"/>
      <c r="P43" s="138"/>
      <c r="Q43" s="138"/>
      <c r="R43" s="138"/>
      <c r="S43" s="43"/>
      <c r="X43" s="43"/>
      <c r="Y43" s="43"/>
      <c r="Z43" s="136" t="s">
        <v>171</v>
      </c>
      <c r="AA43" s="138"/>
      <c r="AB43" s="138"/>
      <c r="AC43" s="138"/>
      <c r="AD43" s="138"/>
      <c r="AE43" s="153"/>
      <c r="AF43" s="153"/>
      <c r="AG43" s="153"/>
      <c r="AH43" s="43"/>
      <c r="AI43" s="119"/>
      <c r="AJ43" s="123" t="s">
        <v>171</v>
      </c>
      <c r="AK43" s="139"/>
      <c r="AL43" s="139"/>
      <c r="AM43" s="139"/>
      <c r="AN43" s="139"/>
      <c r="AO43" s="161"/>
      <c r="AP43" s="161"/>
      <c r="AQ43" s="161"/>
      <c r="AR43" s="64"/>
    </row>
    <row r="44" spans="1:44" ht="14.25">
      <c r="A44" s="120"/>
      <c r="B44" s="121" t="s">
        <v>144</v>
      </c>
      <c r="C44" s="181"/>
      <c r="D44" s="181"/>
      <c r="E44" s="181"/>
      <c r="F44" s="181"/>
      <c r="G44" s="182"/>
      <c r="H44" s="173" t="str">
        <f>规则表!A45</f>
        <v>P2</v>
      </c>
      <c r="I44" s="174">
        <f>规则表!B45</f>
        <v>1143.3333333333333</v>
      </c>
      <c r="J44" s="174">
        <f>规则表!C45</f>
        <v>1148.4042553191489</v>
      </c>
      <c r="K44" s="174">
        <f>规则表!D45</f>
        <v>1247.2222222222222</v>
      </c>
      <c r="N44" s="123" t="s">
        <v>144</v>
      </c>
      <c r="O44" s="139"/>
      <c r="P44" s="139"/>
      <c r="Q44" s="139"/>
      <c r="R44" s="139"/>
      <c r="X44" s="64"/>
      <c r="Y44" s="64"/>
      <c r="Z44" s="123" t="s">
        <v>144</v>
      </c>
      <c r="AA44" s="139"/>
      <c r="AB44" s="139"/>
      <c r="AC44" s="139"/>
      <c r="AD44" s="139"/>
      <c r="AE44" s="161"/>
      <c r="AF44" s="161"/>
      <c r="AG44" s="161"/>
      <c r="AH44" s="64"/>
      <c r="AI44" s="119"/>
      <c r="AJ44" s="123" t="s">
        <v>144</v>
      </c>
      <c r="AK44" s="139"/>
      <c r="AL44" s="139"/>
      <c r="AM44" s="139"/>
      <c r="AN44" s="139"/>
      <c r="AO44" s="161"/>
      <c r="AP44" s="161"/>
      <c r="AQ44" s="161"/>
      <c r="AR44" s="64"/>
    </row>
    <row r="45" spans="1:44" ht="14.25">
      <c r="A45" s="120"/>
      <c r="B45" s="121" t="s">
        <v>161</v>
      </c>
      <c r="C45" s="121">
        <f>SUM(C40:C43)</f>
        <v>590003</v>
      </c>
      <c r="D45" s="121">
        <f>SUM(D40:D43)</f>
        <v>100000</v>
      </c>
      <c r="E45" s="121">
        <f>SUM(E40:E43)</f>
        <v>0</v>
      </c>
      <c r="F45" s="121">
        <f>SUM(F40:F43)</f>
        <v>0</v>
      </c>
      <c r="H45" s="173" t="str">
        <f>规则表!A46</f>
        <v>P3</v>
      </c>
      <c r="I45" s="174">
        <f>规则表!B46</f>
        <v>1743.3333333333333</v>
      </c>
      <c r="J45" s="174">
        <f>规则表!C46</f>
        <v>1748.4042553191489</v>
      </c>
      <c r="K45" s="174">
        <f>规则表!D46</f>
        <v>1847.2222222222222</v>
      </c>
      <c r="M45" s="64"/>
      <c r="N45" s="123" t="s">
        <v>161</v>
      </c>
      <c r="O45" s="123">
        <f>SUM(O40:O43)</f>
        <v>0</v>
      </c>
      <c r="P45" s="123">
        <f>SUM(P40:P43)</f>
        <v>0</v>
      </c>
      <c r="Q45" s="123">
        <f>SUM(Q40:Q43)</f>
        <v>0</v>
      </c>
      <c r="R45" s="123">
        <f>SUM(R40:R43)</f>
        <v>0</v>
      </c>
      <c r="X45" s="64"/>
      <c r="Y45" s="64"/>
      <c r="Z45" s="123" t="s">
        <v>161</v>
      </c>
      <c r="AA45" s="123">
        <f>SUM(AA40:AA43)</f>
        <v>0</v>
      </c>
      <c r="AB45" s="123">
        <f>SUM(AB40:AB43)</f>
        <v>0</v>
      </c>
      <c r="AC45" s="123">
        <f>SUM(AC40:AC43)</f>
        <v>0</v>
      </c>
      <c r="AD45" s="123">
        <f>SUM(AD40:AD43)</f>
        <v>0</v>
      </c>
      <c r="AE45" s="161"/>
      <c r="AF45" s="161"/>
      <c r="AG45" s="161"/>
      <c r="AH45" s="64"/>
      <c r="AI45" s="119"/>
      <c r="AJ45" s="123" t="s">
        <v>161</v>
      </c>
      <c r="AK45" s="123">
        <f t="shared" ref="AK45:AN45" si="13">SUM(AK40:AK43)</f>
        <v>0</v>
      </c>
      <c r="AL45" s="123">
        <f t="shared" si="13"/>
        <v>0</v>
      </c>
      <c r="AM45" s="123">
        <f t="shared" si="13"/>
        <v>0</v>
      </c>
      <c r="AN45" s="123">
        <f t="shared" si="13"/>
        <v>0</v>
      </c>
      <c r="AO45" s="161"/>
      <c r="AP45" s="161"/>
      <c r="AQ45" s="161"/>
      <c r="AR45" s="64"/>
    </row>
    <row r="46" spans="1:44" ht="14.25">
      <c r="A46" s="120"/>
      <c r="B46" s="121" t="s">
        <v>98</v>
      </c>
      <c r="C46" s="121">
        <f ca="1">C5-C7-C8-C9-C10+C12+C13+C14-C15+C16+C17-C18-C19-C20-C29-C38-C45-C44-C37-C21+C22</f>
        <v>2379997</v>
      </c>
      <c r="D46" s="121">
        <f ca="1">D5-D7-D8-D9-D10+D12+D13+D14-D15+D16+D17-D18-D19-D20-D29-D38-D45-D44-D37-D21+D22</f>
        <v>2159997</v>
      </c>
      <c r="E46" s="121">
        <f ca="1">E5-E7-E8-E9-E10+E12+E13+E14-E15+E16+E17-E18-E19-E20-E29-E38-E45-E44-E37-E21+E22</f>
        <v>-966003</v>
      </c>
      <c r="F46" s="121">
        <f ca="1">F5-F7-F8-F9-F10+F12+F13+F14-F15+F16+F17-F18-F19-F20-F29-F38-F45-F44-F37-F21+F22</f>
        <v>-1086003</v>
      </c>
      <c r="H46" s="173" t="str">
        <f>规则表!A47</f>
        <v>P4</v>
      </c>
      <c r="I46" s="174">
        <f>规则表!B47</f>
        <v>2543.3333333333335</v>
      </c>
      <c r="J46" s="174">
        <f>规则表!C47</f>
        <v>2548.4042553191489</v>
      </c>
      <c r="K46" s="174">
        <f>规则表!D47</f>
        <v>2647.2222222222222</v>
      </c>
      <c r="N46" s="123" t="s">
        <v>98</v>
      </c>
      <c r="O46" s="123">
        <f ca="1">O5-O7-O8-O9-O10+O12+O13+O14-O15+O16+O17-O18-O19-O20-O29-O38-O45-O44-O37+O22-O21</f>
        <v>11531547</v>
      </c>
      <c r="P46" s="123">
        <f ca="1">P5-P7-P8-P9-P10+P12+P13+P14-P15+P16+P17-P18-P19-P20-P29-P38-P45-P44-P37+P22-P21</f>
        <v>11411547</v>
      </c>
      <c r="Q46" s="123">
        <f ca="1">Q5-Q7-Q8-Q9-Q10+Q12+Q13+Q14-Q15+Q16+Q17-Q18-Q19-Q20-Q29-Q38-Q45-Q44-Q37+Q22-Q21</f>
        <v>26570547</v>
      </c>
      <c r="R46" s="123">
        <f ca="1">R5-R7-R8-R9-R10+R12+R13+R14-R15+R16+R17-R18-R19-R20-R29-R38-R45-R44-R37+R22-R21</f>
        <v>26450547</v>
      </c>
      <c r="X46" s="64"/>
      <c r="Y46" s="64"/>
      <c r="Z46" s="123" t="s">
        <v>98</v>
      </c>
      <c r="AA46" s="123">
        <f ca="1">AA5-AA7-AA8-AA9-AA10+AA12+AA13+AA14-AA15+AA16+AA17-AA18-AA19-AA20-AA29-AA38-AA45-AA44-AA37+AA22-AA21</f>
        <v>19050643</v>
      </c>
      <c r="AB46" s="123">
        <f ca="1">AB5-AB7-AB8-AB9-AB10+AB12+AB13+AB14-AB15+AB16+AB17-AB18-AB19-AB20-AB29-AB38-AB45-AB44-AB37+AB22-AB21</f>
        <v>18930643</v>
      </c>
      <c r="AC46" s="123">
        <f ca="1">AC5-AC7-AC8-AC9-AC10+AC12+AC13+AC14-AC15+AC16+AC17-AC18-AC19-AC20-AC29-AC38-AC45-AC44-AC37+AC22-AC21</f>
        <v>18810643</v>
      </c>
      <c r="AD46" s="123">
        <f ca="1">AD5-AD7-AD8-AD9-AD10+AD12+AD13+AD14-AD15+AD16+AD17-AD18-AD19-AD20-AD29-AD38-AD45-AD44-AD37+AD22-AD21</f>
        <v>18690643</v>
      </c>
      <c r="AE46" s="161"/>
      <c r="AF46" s="161"/>
      <c r="AG46" s="161"/>
      <c r="AH46" s="64"/>
      <c r="AI46" s="119"/>
      <c r="AJ46" s="123" t="s">
        <v>98</v>
      </c>
      <c r="AK46" s="123">
        <f ca="1">AK5-AK7-AK8-AK9-AK10+AK12+AK13+AK14-AK15+AK16+AK17-AK18-AK19-AK20-AK29-AK38-AK45-AK44-AK37+AK22-AK21</f>
        <v>18570643</v>
      </c>
      <c r="AL46" s="123">
        <f ca="1">AL5-AL7-AL8-AL9-AL10+AL12+AL13+AL14-AL15+AL16+AL17-AL18-AL19-AL20-AL29-AL38-AL45-AL44-AL37+AL22-AL21</f>
        <v>18450643</v>
      </c>
      <c r="AM46" s="123">
        <f ca="1">AM5-AM7-AM8-AM9-AM10+AM12+AM13+AM14-AM15+AM16+AM17-AM18-AM19-AM20-AM29-AM38-AM45-AM44-AM37+AM22-AM21</f>
        <v>18330643</v>
      </c>
      <c r="AN46" s="123">
        <f ca="1">AN5-AN7-AN8-AN9-AN10+AN12+AN13+AN14-AN15+AN16+AN17-AN18-AN19-AN20-AN29-AN38-AN45-AN44-AN37+AN22-AN21</f>
        <v>18210643</v>
      </c>
      <c r="AO46" s="161"/>
      <c r="AP46" s="161"/>
      <c r="AQ46" s="161"/>
      <c r="AR46" s="64"/>
    </row>
    <row r="47" spans="1:44" ht="14.25">
      <c r="B47"/>
      <c r="C47"/>
      <c r="D47"/>
      <c r="E47"/>
      <c r="F47"/>
      <c r="H47" s="178">
        <f>规则表!A48</f>
        <v>0</v>
      </c>
      <c r="I47" s="179">
        <f>规则表!B48</f>
        <v>243.33333333333334</v>
      </c>
      <c r="J47" s="179">
        <f>规则表!C48</f>
        <v>248.40425531914894</v>
      </c>
      <c r="K47" s="179">
        <f>规则表!D48</f>
        <v>347.22222222222223</v>
      </c>
      <c r="O47" s="339" t="s">
        <v>172</v>
      </c>
      <c r="P47" s="339"/>
      <c r="Q47" s="339"/>
      <c r="R47" s="339"/>
    </row>
    <row r="48" spans="1:44">
      <c r="B48" s="183"/>
    </row>
    <row r="49" spans="1:40">
      <c r="A49" s="340" t="s">
        <v>173</v>
      </c>
      <c r="B49" s="340"/>
      <c r="C49" s="105"/>
      <c r="D49" s="105"/>
      <c r="E49" s="105"/>
      <c r="F49" s="105"/>
      <c r="M49" s="340" t="s">
        <v>173</v>
      </c>
      <c r="N49" s="340"/>
      <c r="O49" s="105"/>
      <c r="P49" s="105"/>
      <c r="Q49" s="105"/>
      <c r="R49" s="105"/>
      <c r="Y49" s="340" t="s">
        <v>173</v>
      </c>
      <c r="Z49" s="340"/>
      <c r="AA49" s="105"/>
      <c r="AB49" s="105"/>
      <c r="AC49" s="105"/>
      <c r="AD49" s="105"/>
      <c r="AI49" s="340" t="s">
        <v>173</v>
      </c>
      <c r="AJ49" s="340"/>
      <c r="AK49" s="105"/>
      <c r="AL49" s="105"/>
      <c r="AM49" s="105"/>
      <c r="AN49" s="105"/>
    </row>
    <row r="50" spans="1:40">
      <c r="A50" s="340" t="s">
        <v>174</v>
      </c>
      <c r="B50" s="184">
        <v>0</v>
      </c>
      <c r="C50" s="185">
        <f ca="1">IF(订单贴现表!C8&lt;C49,订单贴现表!C8,C49)</f>
        <v>0</v>
      </c>
      <c r="D50" s="185">
        <f ca="1">IF(订单贴现表!D8&lt;D49,订单贴现表!D8,D49)</f>
        <v>0</v>
      </c>
      <c r="E50" s="185">
        <f ca="1">IF(订单贴现表!E8&lt;E49,订单贴现表!E8,E49)</f>
        <v>0</v>
      </c>
      <c r="F50" s="185">
        <f ca="1">IF(订单贴现表!F8&lt;F49,订单贴现表!F8,F49)</f>
        <v>0</v>
      </c>
      <c r="M50" s="340" t="s">
        <v>174</v>
      </c>
      <c r="N50" s="184">
        <v>0</v>
      </c>
      <c r="O50" s="185">
        <f ca="1">IF(订单贴现表!G8&lt;O49,订单贴现表!G8,O49)</f>
        <v>0</v>
      </c>
      <c r="P50" s="185">
        <f ca="1">IF(订单贴现表!H8&lt;P49,订单贴现表!H8,P49)</f>
        <v>0</v>
      </c>
      <c r="Q50" s="185">
        <f ca="1">IF(订单贴现表!I8&lt;Q49,订单贴现表!I8,Q49)</f>
        <v>0</v>
      </c>
      <c r="R50" s="185">
        <f ca="1">IF(订单贴现表!J8&lt;R49,订单贴现表!J8,R49)</f>
        <v>0</v>
      </c>
      <c r="Y50" s="340" t="s">
        <v>174</v>
      </c>
      <c r="Z50" s="184">
        <v>0</v>
      </c>
      <c r="AA50" s="185">
        <f ca="1">IF(订单贴现表!K8&lt;AA49,订单贴现表!K8,AA49)</f>
        <v>0</v>
      </c>
      <c r="AB50" s="185">
        <f ca="1">IF(订单贴现表!L8&lt;AB49,订单贴现表!L8,AB49)</f>
        <v>0</v>
      </c>
      <c r="AC50" s="185">
        <f ca="1">IF(订单贴现表!M8&lt;AC49,订单贴现表!M8,AC49)</f>
        <v>0</v>
      </c>
      <c r="AD50" s="185">
        <f ca="1">IF(订单贴现表!N8&lt;AD49,订单贴现表!N8,AD49)</f>
        <v>0</v>
      </c>
      <c r="AI50" s="340" t="s">
        <v>174</v>
      </c>
      <c r="AJ50" s="184">
        <v>0</v>
      </c>
      <c r="AK50" s="185">
        <f ca="1">IF(订单贴现表!O8&lt;AK49,订单贴现表!O8,AK49)</f>
        <v>0</v>
      </c>
      <c r="AL50" s="185">
        <f ca="1">IF(订单贴现表!P8&lt;AL49,订单贴现表!P8,AL49)</f>
        <v>0</v>
      </c>
      <c r="AM50" s="185">
        <f ca="1">IF(订单贴现表!Q8&lt;AM49,订单贴现表!Q8,AM49)</f>
        <v>0</v>
      </c>
      <c r="AN50" s="185">
        <f ca="1">IF(订单贴现表!R8&lt;AN49,订单贴现表!R8,AN49)</f>
        <v>0</v>
      </c>
    </row>
    <row r="51" spans="1:40">
      <c r="A51" s="340"/>
      <c r="B51" s="184">
        <v>1</v>
      </c>
      <c r="C51" s="185" cm="1">
        <f t="array" aca="1" ref="C51" ca="1">ROUNDUP(_xlfn.IFS(C49&lt;订单贴现表!C8,0,C49&lt;C50+订单贴现表!C9*(1-VLOOKUP(--SUBSTITUTE(订单贴现表!$B$9,"期",""),规则表!$A$10:$B$14,2,FALSE)),(C49-C50)/(1-VLOOKUP(--SUBSTITUTE(订单贴现表!$B$9,"期",""),规则表!$A$10:$B$14,2,FALSE)),TRUE,订单贴现表!C9),0)</f>
        <v>0</v>
      </c>
      <c r="D51" s="185" cm="1">
        <f t="array" aca="1" ref="D51" ca="1">_xlfn.IFS(D49&lt;订单贴现表!D8,0,D49&lt;D50+订单贴现表!D9*(1-VLOOKUP(--SUBSTITUTE(订单贴现表!$B$9,"期",""),规则表!$A$10:$B$14,2,FALSE)),(D49-D50)/(1-VLOOKUP(--SUBSTITUTE(订单贴现表!$B$9,"期",""),规则表!$A$10:$B$14,2,FALSE)),TRUE,订单贴现表!D9)</f>
        <v>0</v>
      </c>
      <c r="E51" s="185" cm="1">
        <f t="array" aca="1" ref="E51" ca="1">_xlfn.IFS(E49&lt;订单贴现表!E8,0,E49&lt;E50+订单贴现表!E9*(1-VLOOKUP(--SUBSTITUTE(订单贴现表!$B$9,"期",""),规则表!$A$10:$B$14,2,FALSE)),(E49-E50)/(1-VLOOKUP(--SUBSTITUTE(订单贴现表!$B$9,"期",""),规则表!$A$10:$B$14,2,FALSE)),TRUE,订单贴现表!E9)</f>
        <v>0</v>
      </c>
      <c r="F51" s="185" cm="1">
        <f t="array" aca="1" ref="F51" ca="1">_xlfn.IFS(F49&lt;订单贴现表!F8,0,F49&lt;F50+订单贴现表!F9*(1-VLOOKUP(--SUBSTITUTE(订单贴现表!$B$9,"期",""),规则表!$A$10:$B$14,2,FALSE)),(F49-F50)/(1-VLOOKUP(--SUBSTITUTE(订单贴现表!$B$9,"期",""),规则表!$A$10:$B$14,2,FALSE)),TRUE,订单贴现表!F9)</f>
        <v>0</v>
      </c>
      <c r="M51" s="340"/>
      <c r="N51" s="184">
        <v>1</v>
      </c>
      <c r="O51" s="185" cm="1">
        <f t="array" aca="1" ref="O51" ca="1">_xlfn.IFS(O49&lt;订单贴现表!G8,0,O49&lt;O50+订单贴现表!G9*(1-VLOOKUP(--SUBSTITUTE(订单贴现表!$B$9,"期",""),规则表!$A$10:$B$14,2,FALSE)),(O49-O50)/(1-VLOOKUP(--SUBSTITUTE(订单贴现表!$B$9,"期",""),规则表!$A$10:$B$14,2,FALSE)),TRUE,订单贴现表!G9)</f>
        <v>0</v>
      </c>
      <c r="P51" s="185" cm="1">
        <f t="array" aca="1" ref="P51" ca="1">_xlfn.IFS(P49&lt;订单贴现表!H8,0,P49&lt;P50+订单贴现表!H9*(1-VLOOKUP(--SUBSTITUTE(订单贴现表!$B$9,"期",""),规则表!$A$10:$B$14,2,FALSE)),(P49-P50)/(1-VLOOKUP(--SUBSTITUTE(订单贴现表!$B$9,"期",""),规则表!$A$10:$B$14,2,FALSE)),TRUE,订单贴现表!H9)</f>
        <v>0</v>
      </c>
      <c r="Q51" s="185" cm="1">
        <f t="array" aca="1" ref="Q51" ca="1">_xlfn.IFS(Q49&lt;订单贴现表!I8,0,Q49&lt;Q50+订单贴现表!I9*(1-VLOOKUP(--SUBSTITUTE(订单贴现表!$B$9,"期",""),规则表!$A$10:$B$14,2,FALSE)),(Q49-Q50)/(1-VLOOKUP(--SUBSTITUTE(订单贴现表!$B$9,"期",""),规则表!$A$10:$B$14,2,FALSE)),TRUE,订单贴现表!I9)</f>
        <v>0</v>
      </c>
      <c r="R51" s="185" cm="1">
        <f t="array" aca="1" ref="R51" ca="1">_xlfn.IFS(R49&lt;订单贴现表!J8,0,R49&lt;R50+订单贴现表!J9*(1-VLOOKUP(--SUBSTITUTE(订单贴现表!$B$9,"期",""),规则表!$A$10:$B$14,2,FALSE)),(R49-R50)/(1-VLOOKUP(--SUBSTITUTE(订单贴现表!$B$9,"期",""),规则表!$A$10:$B$14,2,FALSE)),TRUE,订单贴现表!J9)</f>
        <v>0</v>
      </c>
      <c r="Y51" s="340"/>
      <c r="Z51" s="184">
        <v>1</v>
      </c>
      <c r="AA51" s="185" cm="1">
        <f t="array" aca="1" ref="AA51" ca="1">_xlfn.IFS(AA49&lt;订单贴现表!K8,0,AA49&lt;AA50+订单贴现表!K9*(1-VLOOKUP(--SUBSTITUTE(订单贴现表!$B$9,"期",""),规则表!$A$10:$B$14,2,FALSE)),(AA49-AA50)/(1-VLOOKUP(--SUBSTITUTE(订单贴现表!$B$9,"期",""),规则表!$A$10:$B$14,2,FALSE)),TRUE,订单贴现表!K9)</f>
        <v>0</v>
      </c>
      <c r="AB51" s="185" cm="1">
        <f t="array" aca="1" ref="AB51" ca="1">_xlfn.IFS(AB49&lt;订单贴现表!L8,0,AB49&lt;AB50+订单贴现表!L9*(1-VLOOKUP(--SUBSTITUTE(订单贴现表!$B$9,"期",""),规则表!$A$10:$B$14,2,FALSE)),(AB49-AB50)/(1-VLOOKUP(--SUBSTITUTE(订单贴现表!$B$9,"期",""),规则表!$A$10:$B$14,2,FALSE)),TRUE,订单贴现表!L9)</f>
        <v>0</v>
      </c>
      <c r="AC51" s="185" cm="1">
        <f t="array" aca="1" ref="AC51" ca="1">_xlfn.IFS(AC49&lt;订单贴现表!M8,0,AC49&lt;AC50+订单贴现表!M9*(1-VLOOKUP(--SUBSTITUTE(订单贴现表!$B$9,"期",""),规则表!$A$10:$B$14,2,FALSE)),(AC49-AC50)/(1-VLOOKUP(--SUBSTITUTE(订单贴现表!$B$9,"期",""),规则表!$A$10:$B$14,2,FALSE)),TRUE,订单贴现表!M9)</f>
        <v>0</v>
      </c>
      <c r="AD51" s="185" cm="1">
        <f t="array" aca="1" ref="AD51" ca="1">_xlfn.IFS(AD49&lt;订单贴现表!N8,0,AD49&lt;AD50+订单贴现表!N9*(1-VLOOKUP(--SUBSTITUTE(订单贴现表!$B$9,"期",""),规则表!$A$10:$B$14,2,FALSE)),(AD49-AD50)/(1-VLOOKUP(--SUBSTITUTE(订单贴现表!$B$9,"期",""),规则表!$A$10:$B$14,2,FALSE)),TRUE,订单贴现表!N9)</f>
        <v>0</v>
      </c>
      <c r="AI51" s="340"/>
      <c r="AJ51" s="184">
        <v>1</v>
      </c>
      <c r="AK51" s="185" cm="1">
        <f t="array" aca="1" ref="AK51" ca="1">_xlfn.IFS(AK49&lt;订单贴现表!O8,0,AK49&lt;AK50+订单贴现表!O9*(1-VLOOKUP(--SUBSTITUTE(订单贴现表!$B$9,"期",""),规则表!$A$10:$B$14,2,FALSE)),(AK49-AK50)/(1-VLOOKUP(--SUBSTITUTE(订单贴现表!$B$9,"期",""),规则表!$A$10:$B$14,2,FALSE)),TRUE,订单贴现表!O9)</f>
        <v>0</v>
      </c>
      <c r="AL51" s="185" cm="1">
        <f t="array" aca="1" ref="AL51" ca="1">_xlfn.IFS(AL49&lt;订单贴现表!P8,0,AL49&lt;AL50+订单贴现表!P9*(1-VLOOKUP(--SUBSTITUTE(订单贴现表!$B$9,"期",""),规则表!$A$10:$B$14,2,FALSE)),(AL49-AL50)/(1-VLOOKUP(--SUBSTITUTE(订单贴现表!$B$9,"期",""),规则表!$A$10:$B$14,2,FALSE)),TRUE,订单贴现表!P9)</f>
        <v>0</v>
      </c>
      <c r="AM51" s="185" cm="1">
        <f t="array" aca="1" ref="AM51" ca="1">_xlfn.IFS(AM49&lt;订单贴现表!Q8,0,AM49&lt;AM50+订单贴现表!Q9*(1-VLOOKUP(--SUBSTITUTE(订单贴现表!$B$9,"期",""),规则表!$A$10:$B$14,2,FALSE)),(AM49-AM50)/(1-VLOOKUP(--SUBSTITUTE(订单贴现表!$B$9,"期",""),规则表!$A$10:$B$14,2,FALSE)),TRUE,订单贴现表!Q9)</f>
        <v>0</v>
      </c>
      <c r="AN51" s="185" cm="1">
        <f t="array" aca="1" ref="AN51" ca="1">_xlfn.IFS(AN49&lt;订单贴现表!R8,0,AN49&lt;AN50+订单贴现表!R9*(1-VLOOKUP(--SUBSTITUTE(订单贴现表!$B$9,"期",""),规则表!$A$10:$B$14,2,FALSE)),(AN49-AN50)/(1-VLOOKUP(--SUBSTITUTE(订单贴现表!$B$9,"期",""),规则表!$A$10:$B$14,2,FALSE)),TRUE,订单贴现表!R9)</f>
        <v>0</v>
      </c>
    </row>
    <row r="52" spans="1:40">
      <c r="A52" s="340"/>
      <c r="B52" s="184">
        <v>2</v>
      </c>
      <c r="C52" s="185" cm="1">
        <f t="array" aca="1" ref="C52" ca="1">ROUNDUP(_xlfn.IFS(C49&lt;=C50+C51*(1-VLOOKUP(--SUBSTITUTE(订单贴现表!$B$9,"期",""),规则表!$A$10:$B$14,2,FALSE)),0,C49&lt;C50+C51*(1-VLOOKUP(--SUBSTITUTE(订单贴现表!$B$9,"期",""),规则表!$A$10:$B$14,2,FALSE))+订单贴现表!C10*(1-VLOOKUP(--SUBSTITUTE(订单贴现表!$B$10,"期",""),规则表!$A$10:$B$14,2,FALSE)),(C49-C50-C51*(1-VLOOKUP(--SUBSTITUTE(订单贴现表!$B$9,"期",""),规则表!$A$10:$B$14,2,FALSE)))/(1-VLOOKUP(--SUBSTITUTE(订单贴现表!$B$10,"期",""),规则表!$A$10:$B$14,2,FALSE)),TRUE,订单贴现表!C10),0)</f>
        <v>0</v>
      </c>
      <c r="D52" s="185" cm="1">
        <f t="array" aca="1" ref="D52" ca="1">_xlfn.IFS(D49&lt;=D50+D51*(1-VLOOKUP(--SUBSTITUTE(订单贴现表!$B$9,"期",""),规则表!$A$10:$B$14,2,FALSE)),0,D49&lt;D50+D51*(1-VLOOKUP(--SUBSTITUTE(订单贴现表!$B$9,"期",""),规则表!$A$10:$B$14,2,FALSE))+订单贴现表!D10*(1-VLOOKUP(--SUBSTITUTE(订单贴现表!$B$10,"期",""),规则表!$A$10:$B$14,2,FALSE)),(D49-D50-D51*(1-VLOOKUP(--SUBSTITUTE(订单贴现表!$B$9,"期",""),规则表!$A$10:$B$14,2,FALSE)))/(1-VLOOKUP(--SUBSTITUTE(订单贴现表!$B$10,"期",""),规则表!$A$10:$B$14,2,FALSE)),TRUE,订单贴现表!D10)</f>
        <v>0</v>
      </c>
      <c r="E52" s="185" cm="1">
        <f t="array" aca="1" ref="E52" ca="1">_xlfn.IFS(E49&lt;=E50+E51*(1-VLOOKUP(--SUBSTITUTE(订单贴现表!$B$9,"期",""),规则表!$A$10:$B$14,2,FALSE)),0,E49&lt;E50+E51*(1-VLOOKUP(--SUBSTITUTE(订单贴现表!$B$9,"期",""),规则表!$A$10:$B$14,2,FALSE))+订单贴现表!E10*(1-VLOOKUP(--SUBSTITUTE(订单贴现表!$B$10,"期",""),规则表!$A$10:$B$14,2,FALSE)),(E49-E50-E51*(1-VLOOKUP(--SUBSTITUTE(订单贴现表!$B$9,"期",""),规则表!$A$10:$B$14,2,FALSE)))/(1-VLOOKUP(--SUBSTITUTE(订单贴现表!$B$10,"期",""),规则表!$A$10:$B$14,2,FALSE)),TRUE,订单贴现表!E10)</f>
        <v>0</v>
      </c>
      <c r="F52" s="185" cm="1">
        <f t="array" aca="1" ref="F52" ca="1">_xlfn.IFS(F49&lt;=F50+F51*(1-VLOOKUP(--SUBSTITUTE(订单贴现表!$B$9,"期",""),规则表!$A$10:$B$14,2,FALSE)),0,F49&lt;F50+F51*(1-VLOOKUP(--SUBSTITUTE(订单贴现表!$B$9,"期",""),规则表!$A$10:$B$14,2,FALSE))+订单贴现表!F10*(1-VLOOKUP(--SUBSTITUTE(订单贴现表!$B$10,"期",""),规则表!$A$10:$B$14,2,FALSE)),(F49-F50-F51*(1-VLOOKUP(--SUBSTITUTE(订单贴现表!$B$9,"期",""),规则表!$A$10:$B$14,2,FALSE)))/(1-VLOOKUP(--SUBSTITUTE(订单贴现表!$B$10,"期",""),规则表!$A$10:$B$14,2,FALSE)),TRUE,订单贴现表!F10)</f>
        <v>0</v>
      </c>
      <c r="M52" s="340"/>
      <c r="N52" s="184">
        <v>2</v>
      </c>
      <c r="O52" s="185" cm="1">
        <f t="array" aca="1" ref="O52" ca="1">_xlfn.IFS(O49&lt;=O50+O51*(1-VLOOKUP(--SUBSTITUTE(订单贴现表!$B$9,"期",""),规则表!$A$10:$B$14,2,FALSE)),0,O49&lt;O50+O51*(1-VLOOKUP(--SUBSTITUTE(订单贴现表!$B$9,"期",""),规则表!$A$10:$B$14,2,FALSE))+订单贴现表!G10*(1-VLOOKUP(--SUBSTITUTE(订单贴现表!$B$10,"期",""),规则表!$A$10:$B$14,2,FALSE)),(O49-O50-O51*(1-VLOOKUP(--SUBSTITUTE(订单贴现表!$B$9,"期",""),规则表!$A$10:$B$14,2,FALSE)))/(1-VLOOKUP(--SUBSTITUTE(订单贴现表!$B$10,"期",""),规则表!$A$10:$B$14,2,FALSE)),TRUE,订单贴现表!G10)</f>
        <v>0</v>
      </c>
      <c r="P52" s="185" cm="1">
        <f t="array" aca="1" ref="P52" ca="1">_xlfn.IFS(P49&lt;=P50+P51*(1-VLOOKUP(--SUBSTITUTE(订单贴现表!$B$9,"期",""),规则表!$A$10:$B$14,2,FALSE)),0,P49&lt;P50+P51*(1-VLOOKUP(--SUBSTITUTE(订单贴现表!$B$9,"期",""),规则表!$A$10:$B$14,2,FALSE))+订单贴现表!H10*(1-VLOOKUP(--SUBSTITUTE(订单贴现表!$B$10,"期",""),规则表!$A$10:$B$14,2,FALSE)),(P49-P50-P51*(1-VLOOKUP(--SUBSTITUTE(订单贴现表!$B$9,"期",""),规则表!$A$10:$B$14,2,FALSE)))/(1-VLOOKUP(--SUBSTITUTE(订单贴现表!$B$10,"期",""),规则表!$A$10:$B$14,2,FALSE)),TRUE,订单贴现表!H10)</f>
        <v>0</v>
      </c>
      <c r="Q52" s="185" cm="1">
        <f t="array" aca="1" ref="Q52" ca="1">_xlfn.IFS(Q49&lt;=Q50+Q51*(1-VLOOKUP(--SUBSTITUTE(订单贴现表!$B$9,"期",""),规则表!$A$10:$B$14,2,FALSE)),0,Q49&lt;Q50+Q51*(1-VLOOKUP(--SUBSTITUTE(订单贴现表!$B$9,"期",""),规则表!$A$10:$B$14,2,FALSE))+订单贴现表!I10*(1-VLOOKUP(--SUBSTITUTE(订单贴现表!$B$10,"期",""),规则表!$A$10:$B$14,2,FALSE)),(Q49-Q50-Q51*(1-VLOOKUP(--SUBSTITUTE(订单贴现表!$B$9,"期",""),规则表!$A$10:$B$14,2,FALSE)))/(1-VLOOKUP(--SUBSTITUTE(订单贴现表!$B$10,"期",""),规则表!$A$10:$B$14,2,FALSE)),TRUE,订单贴现表!I10)</f>
        <v>0</v>
      </c>
      <c r="R52" s="185" cm="1">
        <f t="array" aca="1" ref="R52" ca="1">_xlfn.IFS(R49&lt;=R50+R51*(1-VLOOKUP(--SUBSTITUTE(订单贴现表!$B$9,"期",""),规则表!$A$10:$B$14,2,FALSE)),0,R49&lt;R50+R51*(1-VLOOKUP(--SUBSTITUTE(订单贴现表!$B$9,"期",""),规则表!$A$10:$B$14,2,FALSE))+订单贴现表!J10*(1-VLOOKUP(--SUBSTITUTE(订单贴现表!$B$10,"期",""),规则表!$A$10:$B$14,2,FALSE)),(R49-R50-R51*(1-VLOOKUP(--SUBSTITUTE(订单贴现表!$B$9,"期",""),规则表!$A$10:$B$14,2,FALSE)))/(1-VLOOKUP(--SUBSTITUTE(订单贴现表!$B$10,"期",""),规则表!$A$10:$B$14,2,FALSE)),TRUE,订单贴现表!J10)</f>
        <v>0</v>
      </c>
      <c r="Y52" s="340"/>
      <c r="Z52" s="184">
        <v>2</v>
      </c>
      <c r="AA52" s="185" cm="1">
        <f t="array" aca="1" ref="AA52" ca="1">_xlfn.IFS(AA49&lt;=AA50+AA51*(1-VLOOKUP(--SUBSTITUTE(订单贴现表!$B$9,"期",""),规则表!$A$10:$B$14,2,FALSE)),0,AA49&lt;AA50+AA51*(1-VLOOKUP(--SUBSTITUTE(订单贴现表!$B$9,"期",""),规则表!$A$10:$B$14,2,FALSE))+订单贴现表!K10*(1-VLOOKUP(--SUBSTITUTE(订单贴现表!$B$10,"期",""),规则表!$A$10:$B$14,2,FALSE)),(AA49-AA50-AA51*(1-VLOOKUP(--SUBSTITUTE(订单贴现表!$B$9,"期",""),规则表!$A$10:$B$14,2,FALSE)))/(1-VLOOKUP(--SUBSTITUTE(订单贴现表!$B$10,"期",""),规则表!$A$10:$B$14,2,FALSE)),TRUE,订单贴现表!K10)</f>
        <v>0</v>
      </c>
      <c r="AB52" s="185" cm="1">
        <f t="array" aca="1" ref="AB52" ca="1">_xlfn.IFS(AB49&lt;=AB50+AB51*(1-VLOOKUP(--SUBSTITUTE(订单贴现表!$B$9,"期",""),规则表!$A$10:$B$14,2,FALSE)),0,AB49&lt;AB50+AB51*(1-VLOOKUP(--SUBSTITUTE(订单贴现表!$B$9,"期",""),规则表!$A$10:$B$14,2,FALSE))+订单贴现表!L10*(1-VLOOKUP(--SUBSTITUTE(订单贴现表!$B$10,"期",""),规则表!$A$10:$B$14,2,FALSE)),(AB49-AB50-AB51*(1-VLOOKUP(--SUBSTITUTE(订单贴现表!$B$9,"期",""),规则表!$A$10:$B$14,2,FALSE)))/(1-VLOOKUP(--SUBSTITUTE(订单贴现表!$B$10,"期",""),规则表!$A$10:$B$14,2,FALSE)),TRUE,订单贴现表!L10)</f>
        <v>0</v>
      </c>
      <c r="AC52" s="185" cm="1">
        <f t="array" aca="1" ref="AC52" ca="1">_xlfn.IFS(AC49&lt;=AC50+AC51*(1-VLOOKUP(--SUBSTITUTE(订单贴现表!$B$9,"期",""),规则表!$A$10:$B$14,2,FALSE)),0,AC49&lt;AC50+AC51*(1-VLOOKUP(--SUBSTITUTE(订单贴现表!$B$9,"期",""),规则表!$A$10:$B$14,2,FALSE))+订单贴现表!M10*(1-VLOOKUP(--SUBSTITUTE(订单贴现表!$B$10,"期",""),规则表!$A$10:$B$14,2,FALSE)),(AC49-AC50-AC51*(1-VLOOKUP(--SUBSTITUTE(订单贴现表!$B$9,"期",""),规则表!$A$10:$B$14,2,FALSE)))/(1-VLOOKUP(--SUBSTITUTE(订单贴现表!$B$10,"期",""),规则表!$A$10:$B$14,2,FALSE)),TRUE,订单贴现表!M10)</f>
        <v>0</v>
      </c>
      <c r="AD52" s="185" cm="1">
        <f t="array" aca="1" ref="AD52" ca="1">_xlfn.IFS(AD49&lt;=AD50+AD51*(1-VLOOKUP(--SUBSTITUTE(订单贴现表!$B$9,"期",""),规则表!$A$10:$B$14,2,FALSE)),0,AD49&lt;AD50+AD51*(1-VLOOKUP(--SUBSTITUTE(订单贴现表!$B$9,"期",""),规则表!$A$10:$B$14,2,FALSE))+订单贴现表!N10*(1-VLOOKUP(--SUBSTITUTE(订单贴现表!$B$10,"期",""),规则表!$A$10:$B$14,2,FALSE)),(AD49-AD50-AD51*(1-VLOOKUP(--SUBSTITUTE(订单贴现表!$B$9,"期",""),规则表!$A$10:$B$14,2,FALSE)))/(1-VLOOKUP(--SUBSTITUTE(订单贴现表!$B$10,"期",""),规则表!$A$10:$B$14,2,FALSE)),TRUE,订单贴现表!N10)</f>
        <v>0</v>
      </c>
      <c r="AI52" s="340"/>
      <c r="AJ52" s="184">
        <v>2</v>
      </c>
      <c r="AK52" s="185" cm="1">
        <f t="array" aca="1" ref="AK52" ca="1">_xlfn.IFS(AK49&lt;=AK50+AK51*(1-VLOOKUP(--SUBSTITUTE(订单贴现表!$B$9,"期",""),规则表!$A$10:$B$14,2,FALSE)),0,AK49&lt;AK50+AK51*(1-VLOOKUP(--SUBSTITUTE(订单贴现表!$B$9,"期",""),规则表!$A$10:$B$14,2,FALSE))+订单贴现表!O10*(1-VLOOKUP(--SUBSTITUTE(订单贴现表!$B$10,"期",""),规则表!$A$10:$B$14,2,FALSE)),(AK49-AK50-AK51*(1-VLOOKUP(--SUBSTITUTE(订单贴现表!$B$9,"期",""),规则表!$A$10:$B$14,2,FALSE)))/(1-VLOOKUP(--SUBSTITUTE(订单贴现表!$B$10,"期",""),规则表!$A$10:$B$14,2,FALSE)),TRUE,订单贴现表!O10)</f>
        <v>0</v>
      </c>
      <c r="AL52" s="185" cm="1">
        <f t="array" aca="1" ref="AL52" ca="1">_xlfn.IFS(AL49&lt;=AL50+AL51*(1-VLOOKUP(--SUBSTITUTE(订单贴现表!$B$9,"期",""),规则表!$A$10:$B$14,2,FALSE)),0,AL49&lt;AL50+AL51*(1-VLOOKUP(--SUBSTITUTE(订单贴现表!$B$9,"期",""),规则表!$A$10:$B$14,2,FALSE))+订单贴现表!P10*(1-VLOOKUP(--SUBSTITUTE(订单贴现表!$B$10,"期",""),规则表!$A$10:$B$14,2,FALSE)),(AL49-AL50-AL51*(1-VLOOKUP(--SUBSTITUTE(订单贴现表!$B$9,"期",""),规则表!$A$10:$B$14,2,FALSE)))/(1-VLOOKUP(--SUBSTITUTE(订单贴现表!$B$10,"期",""),规则表!$A$10:$B$14,2,FALSE)),TRUE,订单贴现表!P10)</f>
        <v>0</v>
      </c>
      <c r="AM52" s="185" cm="1">
        <f t="array" aca="1" ref="AM52" ca="1">_xlfn.IFS(AM49&lt;=AM50+AM51*(1-VLOOKUP(--SUBSTITUTE(订单贴现表!$B$9,"期",""),规则表!$A$10:$B$14,2,FALSE)),0,AM49&lt;AM50+AM51*(1-VLOOKUP(--SUBSTITUTE(订单贴现表!$B$9,"期",""),规则表!$A$10:$B$14,2,FALSE))+订单贴现表!Q10*(1-VLOOKUP(--SUBSTITUTE(订单贴现表!$B$10,"期",""),规则表!$A$10:$B$14,2,FALSE)),(AM49-AM50-AM51*(1-VLOOKUP(--SUBSTITUTE(订单贴现表!$B$9,"期",""),规则表!$A$10:$B$14,2,FALSE)))/(1-VLOOKUP(--SUBSTITUTE(订单贴现表!$B$10,"期",""),规则表!$A$10:$B$14,2,FALSE)),TRUE,订单贴现表!Q10)</f>
        <v>0</v>
      </c>
      <c r="AN52" s="185" cm="1">
        <f t="array" aca="1" ref="AN52" ca="1">_xlfn.IFS(AN49&lt;=AN50+AN51*(1-VLOOKUP(--SUBSTITUTE(订单贴现表!$B$9,"期",""),规则表!$A$10:$B$14,2,FALSE)),0,AN49&lt;AN50+AN51*(1-VLOOKUP(--SUBSTITUTE(订单贴现表!$B$9,"期",""),规则表!$A$10:$B$14,2,FALSE))+订单贴现表!R10*(1-VLOOKUP(--SUBSTITUTE(订单贴现表!$B$10,"期",""),规则表!$A$10:$B$14,2,FALSE)),(AN49-AN50-AN51*(1-VLOOKUP(--SUBSTITUTE(订单贴现表!$B$9,"期",""),规则表!$A$10:$B$14,2,FALSE)))/(1-VLOOKUP(--SUBSTITUTE(订单贴现表!$B$10,"期",""),规则表!$A$10:$B$14,2,FALSE)),TRUE,订单贴现表!R10)</f>
        <v>0</v>
      </c>
    </row>
    <row r="53" spans="1:40">
      <c r="A53" s="340"/>
      <c r="B53" s="184">
        <v>3</v>
      </c>
      <c r="C53" s="185" cm="1">
        <f t="array" aca="1" ref="C53" ca="1">ROUNDUP(_xlfn.IFS(C49&lt;=C50+C51*(1-VLOOKUP(--SUBSTITUTE(订单贴现表!$B$9,"期",""),规则表!$A$10:$B$14,2,FALSE))+C52*(1-VLOOKUP(--SUBSTITUTE(订单贴现表!$B$10,"期",""),规则表!$A$10:$B$14,2,FALSE)),0,C49&lt;C50+C51*(1-VLOOKUP(--SUBSTITUTE(订单贴现表!$B$9,"期",""),规则表!$A$10:$B$14,2,FALSE))+C52*(1-VLOOKUP(--SUBSTITUTE(订单贴现表!$B$10,"期",""),规则表!$A$10:$B$14,2,FALSE))+订单贴现表!C11*(1-VLOOKUP(--SUBSTITUTE(订单贴现表!$B$11,"期",""),规则表!$A$10:$B$14,2,FALSE)),(C49-C50-C51*(1-VLOOKUP(--SUBSTITUTE(订单贴现表!$B$9,"期",""),规则表!$A$10:$B$14,2,FALSE))-C52*(1-VLOOKUP(--SUBSTITUTE(订单贴现表!$B$10,"期",""),规则表!$A$10:$B$14,2,FALSE)))/(1-VLOOKUP(--SUBSTITUTE(订单贴现表!$B$11,"期",""),规则表!$A$10:$B$14,2,FALSE)),TRUE,订单贴现表!C11),0)</f>
        <v>0</v>
      </c>
      <c r="D53" s="185" cm="1">
        <f t="array" aca="1" ref="D53" ca="1">_xlfn.IFS(D49&lt;=D50+D51*(1-VLOOKUP(--SUBSTITUTE(订单贴现表!$B$9,"期",""),规则表!$A$10:$B$14,2,FALSE))+D52*(1-VLOOKUP(--SUBSTITUTE(订单贴现表!$B$10,"期",""),规则表!$A$10:$B$14,2,FALSE)),0,D49&lt;D50+D51*(1-VLOOKUP(--SUBSTITUTE(订单贴现表!$B$9,"期",""),规则表!$A$10:$B$14,2,FALSE))+D52*(1-VLOOKUP(--SUBSTITUTE(订单贴现表!$B$10,"期",""),规则表!$A$10:$B$14,2,FALSE))+订单贴现表!D11*(1-VLOOKUP(--SUBSTITUTE(订单贴现表!$B$11,"期",""),规则表!$A$10:$B$14,2,FALSE)),(D49-D50-D51*(1-VLOOKUP(--SUBSTITUTE(订单贴现表!$B$9,"期",""),规则表!$A$10:$B$14,2,FALSE))-D52*(1-VLOOKUP(--SUBSTITUTE(订单贴现表!$B$10,"期",""),规则表!$A$10:$B$14,2,FALSE)))/(1-VLOOKUP(--SUBSTITUTE(订单贴现表!$B$11,"期",""),规则表!$A$10:$B$14,2,FALSE)),TRUE,订单贴现表!D11)</f>
        <v>0</v>
      </c>
      <c r="E53" s="185" cm="1">
        <f t="array" aca="1" ref="E53" ca="1">_xlfn.IFS(E49&lt;=E50+E51*(1-VLOOKUP(--SUBSTITUTE(订单贴现表!$B$9,"期",""),规则表!$A$10:$B$14,2,FALSE))+E52*(1-VLOOKUP(--SUBSTITUTE(订单贴现表!$B$10,"期",""),规则表!$A$10:$B$14,2,FALSE)),0,E49&lt;E50+E51*(1-VLOOKUP(--SUBSTITUTE(订单贴现表!$B$9,"期",""),规则表!$A$10:$B$14,2,FALSE))+E52*(1-VLOOKUP(--SUBSTITUTE(订单贴现表!$B$10,"期",""),规则表!$A$10:$B$14,2,FALSE))+订单贴现表!E11*(1-VLOOKUP(--SUBSTITUTE(订单贴现表!$B$11,"期",""),规则表!$A$10:$B$14,2,FALSE)),(E49-E50-E51*(1-VLOOKUP(--SUBSTITUTE(订单贴现表!$B$9,"期",""),规则表!$A$10:$B$14,2,FALSE))-E52*(1-VLOOKUP(--SUBSTITUTE(订单贴现表!$B$10,"期",""),规则表!$A$10:$B$14,2,FALSE)))/(1-VLOOKUP(--SUBSTITUTE(订单贴现表!$B$11,"期",""),规则表!$A$10:$B$14,2,FALSE)),TRUE,订单贴现表!E11)</f>
        <v>0</v>
      </c>
      <c r="F53" s="185" cm="1">
        <f t="array" aca="1" ref="F53" ca="1">_xlfn.IFS(F49&lt;=F50+F51*(1-VLOOKUP(--SUBSTITUTE(订单贴现表!$B$9,"期",""),规则表!$A$10:$B$14,2,FALSE))+F52*(1-VLOOKUP(--SUBSTITUTE(订单贴现表!$B$10,"期",""),规则表!$A$10:$B$14,2,FALSE)),0,F49&lt;F50+F51*(1-VLOOKUP(--SUBSTITUTE(订单贴现表!$B$9,"期",""),规则表!$A$10:$B$14,2,FALSE))+F52*(1-VLOOKUP(--SUBSTITUTE(订单贴现表!$B$10,"期",""),规则表!$A$10:$B$14,2,FALSE))+订单贴现表!F11*(1-VLOOKUP(--SUBSTITUTE(订单贴现表!$B$11,"期",""),规则表!$A$10:$B$14,2,FALSE)),(F49-F50-F51*(1-VLOOKUP(--SUBSTITUTE(订单贴现表!$B$9,"期",""),规则表!$A$10:$B$14,2,FALSE))-F52*(1-VLOOKUP(--SUBSTITUTE(订单贴现表!$B$10,"期",""),规则表!$A$10:$B$14,2,FALSE)))/(1-VLOOKUP(--SUBSTITUTE(订单贴现表!$B$11,"期",""),规则表!$A$10:$B$14,2,FALSE)),TRUE,订单贴现表!F11)</f>
        <v>0</v>
      </c>
      <c r="H53" s="186" t="str" cm="1">
        <f t="array" ref="H53:H57">_xlfn.TOCOL(_xlfn.TAKE(_xlfn.UNIQUE(原始订单表!E1:E1000),COUNTA(_xlfn.UNIQUE(原始订单表!E1:E1000)+1)),1)</f>
        <v>产品</v>
      </c>
      <c r="I53" s="187" t="s">
        <v>175</v>
      </c>
      <c r="J53" s="188" t="s">
        <v>176</v>
      </c>
      <c r="K53" s="189" t="s">
        <v>177</v>
      </c>
      <c r="M53" s="340"/>
      <c r="N53" s="184">
        <v>3</v>
      </c>
      <c r="O53" s="185" cm="1">
        <f t="array" aca="1" ref="O53" ca="1">_xlfn.IFS(O49&lt;=O50+O51*(1-VLOOKUP(--SUBSTITUTE(订单贴现表!$B$9,"期",""),规则表!$A$10:$B$14,2,FALSE))+O52*(1-VLOOKUP(--SUBSTITUTE(订单贴现表!$B$10,"期",""),规则表!$A$10:$B$14,2,FALSE)),0,O49&lt;O50+O51*(1-VLOOKUP(--SUBSTITUTE(订单贴现表!$B$9,"期",""),规则表!$A$10:$B$14,2,FALSE))+O52*(1-VLOOKUP(--SUBSTITUTE(订单贴现表!$B$10,"期",""),规则表!$A$10:$B$14,2,FALSE))+订单贴现表!G11*(1-VLOOKUP(--SUBSTITUTE(订单贴现表!$B$11,"期",""),规则表!$A$10:$B$14,2,FALSE)),(O49-O50-O51*(1-VLOOKUP(--SUBSTITUTE(订单贴现表!$B$9,"期",""),规则表!$A$10:$B$14,2,FALSE))-O52*(1-VLOOKUP(--SUBSTITUTE(订单贴现表!$B$10,"期",""),规则表!$A$10:$B$14,2,FALSE)))/(1-VLOOKUP(--SUBSTITUTE(订单贴现表!$B$11,"期",""),规则表!$A$10:$B$14,2,FALSE)),TRUE,订单贴现表!G11)</f>
        <v>0</v>
      </c>
      <c r="P53" s="185" cm="1">
        <f t="array" aca="1" ref="P53" ca="1">_xlfn.IFS(P49&lt;=P50+P51*(1-VLOOKUP(--SUBSTITUTE(订单贴现表!$B$9,"期",""),规则表!$A$10:$B$14,2,FALSE))+P52*(1-VLOOKUP(--SUBSTITUTE(订单贴现表!$B$10,"期",""),规则表!$A$10:$B$14,2,FALSE)),0,P49&lt;P50+P51*(1-VLOOKUP(--SUBSTITUTE(订单贴现表!$B$9,"期",""),规则表!$A$10:$B$14,2,FALSE))+P52*(1-VLOOKUP(--SUBSTITUTE(订单贴现表!$B$10,"期",""),规则表!$A$10:$B$14,2,FALSE))+订单贴现表!H11*(1-VLOOKUP(--SUBSTITUTE(订单贴现表!$B$11,"期",""),规则表!$A$10:$B$14,2,FALSE)),(P49-P50-P51*(1-VLOOKUP(--SUBSTITUTE(订单贴现表!$B$9,"期",""),规则表!$A$10:$B$14,2,FALSE))-P52*(1-VLOOKUP(--SUBSTITUTE(订单贴现表!$B$10,"期",""),规则表!$A$10:$B$14,2,FALSE)))/(1-VLOOKUP(--SUBSTITUTE(订单贴现表!$B$11,"期",""),规则表!$A$10:$B$14,2,FALSE)),TRUE,订单贴现表!H11)</f>
        <v>0</v>
      </c>
      <c r="Q53" s="185" cm="1">
        <f t="array" aca="1" ref="Q53" ca="1">_xlfn.IFS(Q49&lt;=Q50+Q51*(1-VLOOKUP(--SUBSTITUTE(订单贴现表!$B$9,"期",""),规则表!$A$10:$B$14,2,FALSE))+Q52*(1-VLOOKUP(--SUBSTITUTE(订单贴现表!$B$10,"期",""),规则表!$A$10:$B$14,2,FALSE)),0,Q49&lt;Q50+Q51*(1-VLOOKUP(--SUBSTITUTE(订单贴现表!$B$9,"期",""),规则表!$A$10:$B$14,2,FALSE))+Q52*(1-VLOOKUP(--SUBSTITUTE(订单贴现表!$B$10,"期",""),规则表!$A$10:$B$14,2,FALSE))+订单贴现表!I11*(1-VLOOKUP(--SUBSTITUTE(订单贴现表!$B$11,"期",""),规则表!$A$10:$B$14,2,FALSE)),(Q49-Q50-Q51*(1-VLOOKUP(--SUBSTITUTE(订单贴现表!$B$9,"期",""),规则表!$A$10:$B$14,2,FALSE))-Q52*(1-VLOOKUP(--SUBSTITUTE(订单贴现表!$B$10,"期",""),规则表!$A$10:$B$14,2,FALSE)))/(1-VLOOKUP(--SUBSTITUTE(订单贴现表!$B$11,"期",""),规则表!$A$10:$B$14,2,FALSE)),TRUE,订单贴现表!I11)</f>
        <v>0</v>
      </c>
      <c r="R53" s="185" cm="1">
        <f t="array" aca="1" ref="R53" ca="1">_xlfn.IFS(R49&lt;=R50+R51*(1-VLOOKUP(--SUBSTITUTE(订单贴现表!$B$9,"期",""),规则表!$A$10:$B$14,2,FALSE))+R52*(1-VLOOKUP(--SUBSTITUTE(订单贴现表!$B$10,"期",""),规则表!$A$10:$B$14,2,FALSE)),0,R49&lt;R50+R51*(1-VLOOKUP(--SUBSTITUTE(订单贴现表!$B$9,"期",""),规则表!$A$10:$B$14,2,FALSE))+R52*(1-VLOOKUP(--SUBSTITUTE(订单贴现表!$B$10,"期",""),规则表!$A$10:$B$14,2,FALSE))+订单贴现表!J11*(1-VLOOKUP(--SUBSTITUTE(订单贴现表!$B$11,"期",""),规则表!$A$10:$B$14,2,FALSE)),(R49-R50-R51*(1-VLOOKUP(--SUBSTITUTE(订单贴现表!$B$9,"期",""),规则表!$A$10:$B$14,2,FALSE))-R52*(1-VLOOKUP(--SUBSTITUTE(订单贴现表!$B$10,"期",""),规则表!$A$10:$B$14,2,FALSE)))/(1-VLOOKUP(--SUBSTITUTE(订单贴现表!$B$11,"期",""),规则表!$A$10:$B$14,2,FALSE)),TRUE,订单贴现表!J11)</f>
        <v>0</v>
      </c>
      <c r="Y53" s="340"/>
      <c r="Z53" s="184">
        <v>3</v>
      </c>
      <c r="AA53" s="185" cm="1">
        <f t="array" aca="1" ref="AA53" ca="1">_xlfn.IFS(AA49&lt;=AA50+AA51*(1-VLOOKUP(--SUBSTITUTE(订单贴现表!$B$9,"期",""),规则表!$A$10:$B$14,2,FALSE))+AA52*(1-VLOOKUP(--SUBSTITUTE(订单贴现表!$B$10,"期",""),规则表!$A$10:$B$14,2,FALSE)),0,AA49&lt;AA50+AA51*(1-VLOOKUP(--SUBSTITUTE(订单贴现表!$B$9,"期",""),规则表!$A$10:$B$14,2,FALSE))+AA52*(1-VLOOKUP(--SUBSTITUTE(订单贴现表!$B$10,"期",""),规则表!$A$10:$B$14,2,FALSE))+订单贴现表!K11*(1-VLOOKUP(--SUBSTITUTE(订单贴现表!$B$11,"期",""),规则表!$A$10:$B$14,2,FALSE)),(AA49-AA50-AA51*(1-VLOOKUP(--SUBSTITUTE(订单贴现表!$B$9,"期",""),规则表!$A$10:$B$14,2,FALSE))-AA52*(1-VLOOKUP(--SUBSTITUTE(订单贴现表!$B$10,"期",""),规则表!$A$10:$B$14,2,FALSE)))/(1-VLOOKUP(--SUBSTITUTE(订单贴现表!$B$11,"期",""),规则表!$A$10:$B$14,2,FALSE)),TRUE,订单贴现表!K11)</f>
        <v>0</v>
      </c>
      <c r="AB53" s="185" cm="1">
        <f t="array" aca="1" ref="AB53" ca="1">_xlfn.IFS(AB49&lt;=AB50+AB51*(1-VLOOKUP(--SUBSTITUTE(订单贴现表!$B$9,"期",""),规则表!$A$10:$B$14,2,FALSE))+AB52*(1-VLOOKUP(--SUBSTITUTE(订单贴现表!$B$10,"期",""),规则表!$A$10:$B$14,2,FALSE)),0,AB49&lt;AB50+AB51*(1-VLOOKUP(--SUBSTITUTE(订单贴现表!$B$9,"期",""),规则表!$A$10:$B$14,2,FALSE))+AB52*(1-VLOOKUP(--SUBSTITUTE(订单贴现表!$B$10,"期",""),规则表!$A$10:$B$14,2,FALSE))+订单贴现表!L11*(1-VLOOKUP(--SUBSTITUTE(订单贴现表!$B$11,"期",""),规则表!$A$10:$B$14,2,FALSE)),(AB49-AB50-AB51*(1-VLOOKUP(--SUBSTITUTE(订单贴现表!$B$9,"期",""),规则表!$A$10:$B$14,2,FALSE))-AB52*(1-VLOOKUP(--SUBSTITUTE(订单贴现表!$B$10,"期",""),规则表!$A$10:$B$14,2,FALSE)))/(1-VLOOKUP(--SUBSTITUTE(订单贴现表!$B$11,"期",""),规则表!$A$10:$B$14,2,FALSE)),TRUE,订单贴现表!L11)</f>
        <v>0</v>
      </c>
      <c r="AC53" s="185" cm="1">
        <f t="array" aca="1" ref="AC53" ca="1">_xlfn.IFS(AC49&lt;=AC50+AC51*(1-VLOOKUP(--SUBSTITUTE(订单贴现表!$B$9,"期",""),规则表!$A$10:$B$14,2,FALSE))+AC52*(1-VLOOKUP(--SUBSTITUTE(订单贴现表!$B$10,"期",""),规则表!$A$10:$B$14,2,FALSE)),0,AC49&lt;AC50+AC51*(1-VLOOKUP(--SUBSTITUTE(订单贴现表!$B$9,"期",""),规则表!$A$10:$B$14,2,FALSE))+AC52*(1-VLOOKUP(--SUBSTITUTE(订单贴现表!$B$10,"期",""),规则表!$A$10:$B$14,2,FALSE))+订单贴现表!M11*(1-VLOOKUP(--SUBSTITUTE(订单贴现表!$B$11,"期",""),规则表!$A$10:$B$14,2,FALSE)),(AC49-AC50-AC51*(1-VLOOKUP(--SUBSTITUTE(订单贴现表!$B$9,"期",""),规则表!$A$10:$B$14,2,FALSE))-AC52*(1-VLOOKUP(--SUBSTITUTE(订单贴现表!$B$10,"期",""),规则表!$A$10:$B$14,2,FALSE)))/(1-VLOOKUP(--SUBSTITUTE(订单贴现表!$B$11,"期",""),规则表!$A$10:$B$14,2,FALSE)),TRUE,订单贴现表!M11)</f>
        <v>0</v>
      </c>
      <c r="AD53" s="185" cm="1">
        <f t="array" aca="1" ref="AD53" ca="1">_xlfn.IFS(AD49&lt;=AD50+AD51*(1-VLOOKUP(--SUBSTITUTE(订单贴现表!$B$9,"期",""),规则表!$A$10:$B$14,2,FALSE))+AD52*(1-VLOOKUP(--SUBSTITUTE(订单贴现表!$B$10,"期",""),规则表!$A$10:$B$14,2,FALSE)),0,AD49&lt;AD50+AD51*(1-VLOOKUP(--SUBSTITUTE(订单贴现表!$B$9,"期",""),规则表!$A$10:$B$14,2,FALSE))+AD52*(1-VLOOKUP(--SUBSTITUTE(订单贴现表!$B$10,"期",""),规则表!$A$10:$B$14,2,FALSE))+订单贴现表!N11*(1-VLOOKUP(--SUBSTITUTE(订单贴现表!$B$11,"期",""),规则表!$A$10:$B$14,2,FALSE)),(AD49-AD50-AD51*(1-VLOOKUP(--SUBSTITUTE(订单贴现表!$B$9,"期",""),规则表!$A$10:$B$14,2,FALSE))-AD52*(1-VLOOKUP(--SUBSTITUTE(订单贴现表!$B$10,"期",""),规则表!$A$10:$B$14,2,FALSE)))/(1-VLOOKUP(--SUBSTITUTE(订单贴现表!$B$11,"期",""),规则表!$A$10:$B$14,2,FALSE)),TRUE,订单贴现表!N11)</f>
        <v>0</v>
      </c>
      <c r="AI53" s="340"/>
      <c r="AJ53" s="184">
        <v>3</v>
      </c>
      <c r="AK53" s="185" cm="1">
        <f t="array" aca="1" ref="AK53" ca="1">_xlfn.IFS(AK49&lt;=AK50+AK51*(1-VLOOKUP(--SUBSTITUTE(订单贴现表!$B$9,"期",""),规则表!$A$10:$B$14,2,FALSE))+AK52*(1-VLOOKUP(--SUBSTITUTE(订单贴现表!$B$10,"期",""),规则表!$A$10:$B$14,2,FALSE)),0,AK49&lt;AK50+AK51*(1-VLOOKUP(--SUBSTITUTE(订单贴现表!$B$9,"期",""),规则表!$A$10:$B$14,2,FALSE))+AK52*(1-VLOOKUP(--SUBSTITUTE(订单贴现表!$B$10,"期",""),规则表!$A$10:$B$14,2,FALSE))+订单贴现表!O11*(1-VLOOKUP(--SUBSTITUTE(订单贴现表!$B$11,"期",""),规则表!$A$10:$B$14,2,FALSE)),(AK49-AK50-AK51*(1-VLOOKUP(--SUBSTITUTE(订单贴现表!$B$9,"期",""),规则表!$A$10:$B$14,2,FALSE))-AK52*(1-VLOOKUP(--SUBSTITUTE(订单贴现表!$B$10,"期",""),规则表!$A$10:$B$14,2,FALSE)))/(1-VLOOKUP(--SUBSTITUTE(订单贴现表!$B$11,"期",""),规则表!$A$10:$B$14,2,FALSE)),TRUE,订单贴现表!O11)</f>
        <v>0</v>
      </c>
      <c r="AL53" s="185" cm="1">
        <f t="array" aca="1" ref="AL53" ca="1">_xlfn.IFS(AL49&lt;=AL50+AL51*(1-VLOOKUP(--SUBSTITUTE(订单贴现表!$B$9,"期",""),规则表!$A$10:$B$14,2,FALSE))+AL52*(1-VLOOKUP(--SUBSTITUTE(订单贴现表!$B$10,"期",""),规则表!$A$10:$B$14,2,FALSE)),0,AL49&lt;AL50+AL51*(1-VLOOKUP(--SUBSTITUTE(订单贴现表!$B$9,"期",""),规则表!$A$10:$B$14,2,FALSE))+AL52*(1-VLOOKUP(--SUBSTITUTE(订单贴现表!$B$10,"期",""),规则表!$A$10:$B$14,2,FALSE))+订单贴现表!P11*(1-VLOOKUP(--SUBSTITUTE(订单贴现表!$B$11,"期",""),规则表!$A$10:$B$14,2,FALSE)),(AL49-AL50-AL51*(1-VLOOKUP(--SUBSTITUTE(订单贴现表!$B$9,"期",""),规则表!$A$10:$B$14,2,FALSE))-AL52*(1-VLOOKUP(--SUBSTITUTE(订单贴现表!$B$10,"期",""),规则表!$A$10:$B$14,2,FALSE)))/(1-VLOOKUP(--SUBSTITUTE(订单贴现表!$B$11,"期",""),规则表!$A$10:$B$14,2,FALSE)),TRUE,订单贴现表!P11)</f>
        <v>0</v>
      </c>
      <c r="AM53" s="185" cm="1">
        <f t="array" aca="1" ref="AM53" ca="1">_xlfn.IFS(AM49&lt;=AM50+AM51*(1-VLOOKUP(--SUBSTITUTE(订单贴现表!$B$9,"期",""),规则表!$A$10:$B$14,2,FALSE))+AM52*(1-VLOOKUP(--SUBSTITUTE(订单贴现表!$B$10,"期",""),规则表!$A$10:$B$14,2,FALSE)),0,AM49&lt;AM50+AM51*(1-VLOOKUP(--SUBSTITUTE(订单贴现表!$B$9,"期",""),规则表!$A$10:$B$14,2,FALSE))+AM52*(1-VLOOKUP(--SUBSTITUTE(订单贴现表!$B$10,"期",""),规则表!$A$10:$B$14,2,FALSE))+订单贴现表!Q11*(1-VLOOKUP(--SUBSTITUTE(订单贴现表!$B$11,"期",""),规则表!$A$10:$B$14,2,FALSE)),(AM49-AM50-AM51*(1-VLOOKUP(--SUBSTITUTE(订单贴现表!$B$9,"期",""),规则表!$A$10:$B$14,2,FALSE))-AM52*(1-VLOOKUP(--SUBSTITUTE(订单贴现表!$B$10,"期",""),规则表!$A$10:$B$14,2,FALSE)))/(1-VLOOKUP(--SUBSTITUTE(订单贴现表!$B$11,"期",""),规则表!$A$10:$B$14,2,FALSE)),TRUE,订单贴现表!Q11)</f>
        <v>0</v>
      </c>
      <c r="AN53" s="185" cm="1">
        <f t="array" aca="1" ref="AN53" ca="1">_xlfn.IFS(AN49&lt;=AN50+AN51*(1-VLOOKUP(--SUBSTITUTE(订单贴现表!$B$9,"期",""),规则表!$A$10:$B$14,2,FALSE))+AN52*(1-VLOOKUP(--SUBSTITUTE(订单贴现表!$B$10,"期",""),规则表!$A$10:$B$14,2,FALSE)),0,AN49&lt;AN50+AN51*(1-VLOOKUP(--SUBSTITUTE(订单贴现表!$B$9,"期",""),规则表!$A$10:$B$14,2,FALSE))+AN52*(1-VLOOKUP(--SUBSTITUTE(订单贴现表!$B$10,"期",""),规则表!$A$10:$B$14,2,FALSE))+订单贴现表!R11*(1-VLOOKUP(--SUBSTITUTE(订单贴现表!$B$11,"期",""),规则表!$A$10:$B$14,2,FALSE)),(AN49-AN50-AN51*(1-VLOOKUP(--SUBSTITUTE(订单贴现表!$B$9,"期",""),规则表!$A$10:$B$14,2,FALSE))-AN52*(1-VLOOKUP(--SUBSTITUTE(订单贴现表!$B$10,"期",""),规则表!$A$10:$B$14,2,FALSE)))/(1-VLOOKUP(--SUBSTITUTE(订单贴现表!$B$11,"期",""),规则表!$A$10:$B$14,2,FALSE)),TRUE,订单贴现表!R11)</f>
        <v>0</v>
      </c>
    </row>
    <row r="54" spans="1:40" ht="14.25">
      <c r="A54" s="340"/>
      <c r="B54" s="184">
        <v>4</v>
      </c>
      <c r="C54" s="190" cm="1">
        <f t="array" aca="1" ref="C54" ca="1">ROUNDUP(_xlfn.IFS(C49&lt;=C50+C51*(1-VLOOKUP(--SUBSTITUTE(订单贴现表!$B$4,"期",""),规则表!$A$10:$B$14,2,FALSE))+C52*(1-VLOOKUP(--SUBSTITUTE(订单贴现表!$B$5,"期",""),规则表!$A$10:$B$14,2,FALSE))+C53*(1-VLOOKUP(--SUBSTITUTE(订单贴现表!$B$6,"期",""),规则表!$A$10:$B$14,2,FALSE)),0,C49&lt;C50+C51*(1-VLOOKUP(--SUBSTITUTE(订单贴现表!$B$4,"期",""),规则表!$A$10:$B$14,2,FALSE))+C52*(1-VLOOKUP(--SUBSTITUTE(订单贴现表!$B$5,"期",""),规则表!$A$10:$B$14,2,FALSE))+C53*(1-VLOOKUP(--SUBSTITUTE(订单贴现表!$B$6,"期",""),规则表!$A$10:$B$14,2,FALSE))+订单贴现表!C7*(1-VLOOKUP(--SUBSTITUTE(订单贴现表!$B$7,"期",""),规则表!$A$10:$B$14,2,FALSE)),(C49-C50-C51*(1-VLOOKUP(--SUBSTITUTE(订单贴现表!$B$4,"期",""),规则表!$A$10:$B$14,2,FALSE))-C52*(1-VLOOKUP(--SUBSTITUTE(订单贴现表!$B$5,"期",""),规则表!$A$10:$B$14,2,FALSE))-C53*(1-VLOOKUP(--SUBSTITUTE(订单贴现表!$B$6,"期",""),规则表!$A$10:$B$14,2,FALSE)))/(1-VLOOKUP(--SUBSTITUTE(订单贴现表!$B$7,"期",""),规则表!$A$10:$B$14,2,FALSE)),TRUE,订单贴现表!C7),0)</f>
        <v>0</v>
      </c>
      <c r="D54" s="190" cm="1">
        <f t="array" aca="1" ref="D54" ca="1">_xlfn.IFS(D49&lt;=D50+D51*(1-VLOOKUP(--SUBSTITUTE(订单贴现表!$B$4,"期",""),规则表!$A$10:$B$14,2,FALSE))+D52*(1-VLOOKUP(--SUBSTITUTE(订单贴现表!$B$5,"期",""),规则表!$A$10:$B$14,2,FALSE))+D53*(1-VLOOKUP(--SUBSTITUTE(订单贴现表!$B$6,"期",""),规则表!$A$10:$B$14,2,FALSE)),0,D49&lt;D50+D51*(1-VLOOKUP(--SUBSTITUTE(订单贴现表!$B$4,"期",""),规则表!$A$10:$B$14,2,FALSE))+D52*(1-VLOOKUP(--SUBSTITUTE(订单贴现表!$B$5,"期",""),规则表!$A$10:$B$14,2,FALSE))+D53*(1-VLOOKUP(--SUBSTITUTE(订单贴现表!$B$6,"期",""),规则表!$A$10:$B$14,2,FALSE))+订单贴现表!D7*(1-VLOOKUP(--SUBSTITUTE(订单贴现表!$B$7,"期",""),规则表!$A$10:$B$14,2,FALSE)),(D49-D50-D51*(1-VLOOKUP(--SUBSTITUTE(订单贴现表!$B$4,"期",""),规则表!$A$10:$B$14,2,FALSE))-D52*(1-VLOOKUP(--SUBSTITUTE(订单贴现表!$B$5,"期",""),规则表!$A$10:$B$14,2,FALSE))-D53*(1-VLOOKUP(--SUBSTITUTE(订单贴现表!$B$6,"期",""),规则表!$A$10:$B$14,2,FALSE)))/(1-VLOOKUP(--SUBSTITUTE(订单贴现表!$B$7,"期",""),规则表!$A$10:$B$14,2,FALSE)),TRUE,订单贴现表!D7)</f>
        <v>0</v>
      </c>
      <c r="E54" s="190" cm="1">
        <f t="array" aca="1" ref="E54" ca="1">_xlfn.IFS(E49&lt;=E50+E51*(1-VLOOKUP(--SUBSTITUTE(订单贴现表!$B$9,"期",""),规则表!$A$10:$B$14,2,FALSE))+E52*(1-VLOOKUP(--SUBSTITUTE(订单贴现表!$B$10,"期",""),规则表!$A$10:$B$14,2,FALSE))+E53*(1-VLOOKUP(--SUBSTITUTE(订单贴现表!$B$11,"期",""),规则表!$A$10:$B$14,2,FALSE)),0,E49&lt;E50+E51*(1-VLOOKUP(--SUBSTITUTE(订单贴现表!$B$9,"期",""),规则表!$A$10:$B$14,2,FALSE))+E52*(1-VLOOKUP(--SUBSTITUTE(订单贴现表!$B$10,"期",""),规则表!$A$10:$B$14,2,FALSE))+E53*(1-VLOOKUP(--SUBSTITUTE(订单贴现表!$B$11,"期",""),规则表!$A$10:$B$14,2,FALSE))+订单贴现表!E12*(1-VLOOKUP(--SUBSTITUTE(订单贴现表!$B$12,"期",""),规则表!$A$10:$B$14,2,FALSE)),(E49-E50-E51*(1-VLOOKUP(--SUBSTITUTE(订单贴现表!$B$9,"期",""),规则表!$A$10:$B$14,2,FALSE))-E52*(1-VLOOKUP(--SUBSTITUTE(订单贴现表!$B$10,"期",""),规则表!$A$10:$B$14,2,FALSE))-E53*(1-VLOOKUP(--SUBSTITUTE(订单贴现表!$B$11,"期",""),规则表!$A$10:$B$14,2,FALSE)))/(1-VLOOKUP(--SUBSTITUTE(订单贴现表!$B$12,"期",""),规则表!$A$10:$B$14,2,FALSE)),TRUE,订单贴现表!E12)</f>
        <v>0</v>
      </c>
      <c r="F54" s="190" cm="1">
        <f t="array" aca="1" ref="F54" ca="1">_xlfn.IFS(F49&lt;=F50+F51*(1-VLOOKUP(--SUBSTITUTE(订单贴现表!$B$9,"期",""),规则表!$A$10:$B$14,2,FALSE))+F52*(1-VLOOKUP(--SUBSTITUTE(订单贴现表!$B$10,"期",""),规则表!$A$10:$B$14,2,FALSE))+F53*(1-VLOOKUP(--SUBSTITUTE(订单贴现表!$B$11,"期",""),规则表!$A$10:$B$14,2,FALSE)),0,F49&lt;F50+F51*(1-VLOOKUP(--SUBSTITUTE(订单贴现表!$B$9,"期",""),规则表!$A$10:$B$14,2,FALSE))+F52*(1-VLOOKUP(--SUBSTITUTE(订单贴现表!$B$10,"期",""),规则表!$A$10:$B$14,2,FALSE))+F53*(1-VLOOKUP(--SUBSTITUTE(订单贴现表!$B$11,"期",""),规则表!$A$10:$B$14,2,FALSE))+订单贴现表!F12*(1-VLOOKUP(--SUBSTITUTE(订单贴现表!$B$12,"期",""),规则表!$A$10:$B$14,2,FALSE)),(F49-F50-F51*(1-VLOOKUP(--SUBSTITUTE(订单贴现表!$B$9,"期",""),规则表!$A$10:$B$14,2,FALSE))-F52*(1-VLOOKUP(--SUBSTITUTE(订单贴现表!$B$10,"期",""),规则表!$A$10:$B$14,2,FALSE))-F53*(1-VLOOKUP(--SUBSTITUTE(订单贴现表!$B$11,"期",""),规则表!$A$10:$B$14,2,FALSE)))/(1-VLOOKUP(--SUBSTITUTE(订单贴现表!$B$12,"期",""),规则表!$A$10:$B$14,2,FALSE)),TRUE,订单贴现表!F12)</f>
        <v>0</v>
      </c>
      <c r="H54" s="191" t="str">
        <v>P1</v>
      </c>
      <c r="I54" s="67">
        <v>20000</v>
      </c>
      <c r="J54" s="67">
        <v>1</v>
      </c>
      <c r="K54" s="192">
        <f>IFERROR(_xlfn.MINIFS(原始订单表!L:L,原始订单表!E:E,H54)-VLOOKUP(H54,$H$53:$J$70,3,FALSE),0)</f>
        <v>1</v>
      </c>
      <c r="M54" s="340"/>
      <c r="N54" s="184">
        <v>4</v>
      </c>
      <c r="O54" s="190" cm="1">
        <f t="array" aca="1" ref="O54" ca="1">_xlfn.IFS(O49&lt;=O50+O51*(1-VLOOKUP(--SUBSTITUTE(订单贴现表!$B$4,"期",""),规则表!$A$10:$B$14,2,FALSE))+O52*(1-VLOOKUP(--SUBSTITUTE(订单贴现表!$B$5,"期",""),规则表!$A$10:$B$14,2,FALSE))+O53*(1-VLOOKUP(--SUBSTITUTE(订单贴现表!$B$6,"期",""),规则表!$A$10:$B$14,2,FALSE)),0,O49&lt;O50+O51*(1-VLOOKUP(--SUBSTITUTE(订单贴现表!$B$4,"期",""),规则表!$A$10:$B$14,2,FALSE))+O52*(1-VLOOKUP(--SUBSTITUTE(订单贴现表!$B$5,"期",""),规则表!$A$10:$B$14,2,FALSE))+O53*(1-VLOOKUP(--SUBSTITUTE(订单贴现表!$B$6,"期",""),规则表!$A$10:$B$14,2,FALSE))+订单贴现表!G7*(1-VLOOKUP(--SUBSTITUTE(订单贴现表!$B$7,"期",""),规则表!$A$10:$B$14,2,FALSE)),(O49-O50-O51*(1-VLOOKUP(--SUBSTITUTE(订单贴现表!$B$4,"期",""),规则表!$A$10:$B$14,2,FALSE))-O52*(1-VLOOKUP(--SUBSTITUTE(订单贴现表!$B$5,"期",""),规则表!$A$10:$B$14,2,FALSE))-O53*(1-VLOOKUP(--SUBSTITUTE(订单贴现表!$B$6,"期",""),规则表!$A$10:$B$14,2,FALSE)))/(1-VLOOKUP(--SUBSTITUTE(订单贴现表!$B$7,"期",""),规则表!$A$10:$B$14,2,FALSE)),TRUE,订单贴现表!G7)</f>
        <v>0</v>
      </c>
      <c r="P54" s="190" cm="1">
        <f t="array" aca="1" ref="P54" ca="1">_xlfn.IFS(P49&lt;=P50+P51*(1-VLOOKUP(--SUBSTITUTE(订单贴现表!$B$4,"期",""),规则表!$A$10:$B$14,2,FALSE))+P52*(1-VLOOKUP(--SUBSTITUTE(订单贴现表!$B$5,"期",""),规则表!$A$10:$B$14,2,FALSE))+P53*(1-VLOOKUP(--SUBSTITUTE(订单贴现表!$B$6,"期",""),规则表!$A$10:$B$14,2,FALSE)),0,P49&lt;P50+P51*(1-VLOOKUP(--SUBSTITUTE(订单贴现表!$B$4,"期",""),规则表!$A$10:$B$14,2,FALSE))+P52*(1-VLOOKUP(--SUBSTITUTE(订单贴现表!$B$5,"期",""),规则表!$A$10:$B$14,2,FALSE))+P53*(1-VLOOKUP(--SUBSTITUTE(订单贴现表!$B$6,"期",""),规则表!$A$10:$B$14,2,FALSE))+订单贴现表!H7*(1-VLOOKUP(--SUBSTITUTE(订单贴现表!$B$7,"期",""),规则表!$A$10:$B$14,2,FALSE)),(P49-P50-P51*(1-VLOOKUP(--SUBSTITUTE(订单贴现表!$B$4,"期",""),规则表!$A$10:$B$14,2,FALSE))-P52*(1-VLOOKUP(--SUBSTITUTE(订单贴现表!$B$5,"期",""),规则表!$A$10:$B$14,2,FALSE))-P53*(1-VLOOKUP(--SUBSTITUTE(订单贴现表!$B$6,"期",""),规则表!$A$10:$B$14,2,FALSE)))/(1-VLOOKUP(--SUBSTITUTE(订单贴现表!$B$7,"期",""),规则表!$A$10:$B$14,2,FALSE)),TRUE,订单贴现表!H7)</f>
        <v>0</v>
      </c>
      <c r="Q54" s="190" cm="1">
        <f t="array" aca="1" ref="Q54" ca="1">_xlfn.IFS(Q49&lt;=Q50+Q51*(1-VLOOKUP(--SUBSTITUTE(订单贴现表!$B$4,"期",""),规则表!$A$10:$B$14,2,FALSE))+Q52*(1-VLOOKUP(--SUBSTITUTE(订单贴现表!$B$5,"期",""),规则表!$A$10:$B$14,2,FALSE))+Q53*(1-VLOOKUP(--SUBSTITUTE(订单贴现表!$B$6,"期",""),规则表!$A$10:$B$14,2,FALSE)),0,Q49&lt;Q50+Q51*(1-VLOOKUP(--SUBSTITUTE(订单贴现表!$B$4,"期",""),规则表!$A$10:$B$14,2,FALSE))+Q52*(1-VLOOKUP(--SUBSTITUTE(订单贴现表!$B$5,"期",""),规则表!$A$10:$B$14,2,FALSE))+Q53*(1-VLOOKUP(--SUBSTITUTE(订单贴现表!$B$6,"期",""),规则表!$A$10:$B$14,2,FALSE))+订单贴现表!I7*(1-VLOOKUP(--SUBSTITUTE(订单贴现表!$B$7,"期",""),规则表!$A$10:$B$14,2,FALSE)),(Q49-Q50-Q51*(1-VLOOKUP(--SUBSTITUTE(订单贴现表!$B$4,"期",""),规则表!$A$10:$B$14,2,FALSE))-Q52*(1-VLOOKUP(--SUBSTITUTE(订单贴现表!$B$5,"期",""),规则表!$A$10:$B$14,2,FALSE))-Q53*(1-VLOOKUP(--SUBSTITUTE(订单贴现表!$B$6,"期",""),规则表!$A$10:$B$14,2,FALSE)))/(1-VLOOKUP(--SUBSTITUTE(订单贴现表!$B$7,"期",""),规则表!$A$10:$B$14,2,FALSE)),TRUE,订单贴现表!I7)</f>
        <v>0</v>
      </c>
      <c r="R54" s="190" cm="1">
        <f t="array" aca="1" ref="R54" ca="1">_xlfn.IFS(R49&lt;=R50+R51*(1-VLOOKUP(--SUBSTITUTE(订单贴现表!$B$4,"期",""),规则表!$A$10:$B$14,2,FALSE))+R52*(1-VLOOKUP(--SUBSTITUTE(订单贴现表!$B$5,"期",""),规则表!$A$10:$B$14,2,FALSE))+R53*(1-VLOOKUP(--SUBSTITUTE(订单贴现表!$B$6,"期",""),规则表!$A$10:$B$14,2,FALSE)),0,R49&lt;R50+R51*(1-VLOOKUP(--SUBSTITUTE(订单贴现表!$B$4,"期",""),规则表!$A$10:$B$14,2,FALSE))+R52*(1-VLOOKUP(--SUBSTITUTE(订单贴现表!$B$5,"期",""),规则表!$A$10:$B$14,2,FALSE))+R53*(1-VLOOKUP(--SUBSTITUTE(订单贴现表!$B$6,"期",""),规则表!$A$10:$B$14,2,FALSE))+订单贴现表!J7*(1-VLOOKUP(--SUBSTITUTE(订单贴现表!$B$7,"期",""),规则表!$A$10:$B$14,2,FALSE)),(R49-R50-R51*(1-VLOOKUP(--SUBSTITUTE(订单贴现表!$B$4,"期",""),规则表!$A$10:$B$14,2,FALSE))-R52*(1-VLOOKUP(--SUBSTITUTE(订单贴现表!$B$5,"期",""),规则表!$A$10:$B$14,2,FALSE))-R53*(1-VLOOKUP(--SUBSTITUTE(订单贴现表!$B$6,"期",""),规则表!$A$10:$B$14,2,FALSE)))/(1-VLOOKUP(--SUBSTITUTE(订单贴现表!$B$7,"期",""),规则表!$A$10:$B$14,2,FALSE)),TRUE,订单贴现表!J7)</f>
        <v>0</v>
      </c>
      <c r="Y54" s="340"/>
      <c r="Z54" s="184">
        <v>4</v>
      </c>
      <c r="AA54" s="190" cm="1">
        <f t="array" aca="1" ref="AA54" ca="1">_xlfn.IFS(AA49&lt;=AA50+AA51*(1-VLOOKUP(--SUBSTITUTE(订单贴现表!$B$4,"期",""),规则表!$A$10:$B$14,2,FALSE))+AA52*(1-VLOOKUP(--SUBSTITUTE(订单贴现表!$B$5,"期",""),规则表!$A$10:$B$14,2,FALSE))+AA53*(1-VLOOKUP(--SUBSTITUTE(订单贴现表!$B$6,"期",""),规则表!$A$10:$B$14,2,FALSE)),0,AA49&lt;AA50+AA51*(1-VLOOKUP(--SUBSTITUTE(订单贴现表!$B$4,"期",""),规则表!$A$10:$B$14,2,FALSE))+AA52*(1-VLOOKUP(--SUBSTITUTE(订单贴现表!$B$5,"期",""),规则表!$A$10:$B$14,2,FALSE))+AA53*(1-VLOOKUP(--SUBSTITUTE(订单贴现表!$B$6,"期",""),规则表!$A$10:$B$14,2,FALSE))+订单贴现表!K7*(1-VLOOKUP(--SUBSTITUTE(订单贴现表!$B$7,"期",""),规则表!$A$10:$B$14,2,FALSE)),(AA49-AA50-AA51*(1-VLOOKUP(--SUBSTITUTE(订单贴现表!$B$4,"期",""),规则表!$A$10:$B$14,2,FALSE))-AA52*(1-VLOOKUP(--SUBSTITUTE(订单贴现表!$B$5,"期",""),规则表!$A$10:$B$14,2,FALSE))-AA53*(1-VLOOKUP(--SUBSTITUTE(订单贴现表!$B$6,"期",""),规则表!$A$10:$B$14,2,FALSE)))/(1-VLOOKUP(--SUBSTITUTE(订单贴现表!$B$7,"期",""),规则表!$A$10:$B$14,2,FALSE)),TRUE,订单贴现表!K7)</f>
        <v>0</v>
      </c>
      <c r="AB54" s="190" cm="1">
        <f t="array" aca="1" ref="AB54" ca="1">_xlfn.IFS(AB49&lt;=AB50+AB51*(1-VLOOKUP(--SUBSTITUTE(订单贴现表!$B$4,"期",""),规则表!$A$10:$B$14,2,FALSE))+AB52*(1-VLOOKUP(--SUBSTITUTE(订单贴现表!$B$5,"期",""),规则表!$A$10:$B$14,2,FALSE))+AB53*(1-VLOOKUP(--SUBSTITUTE(订单贴现表!$B$6,"期",""),规则表!$A$10:$B$14,2,FALSE)),0,AB49&lt;AB50+AB51*(1-VLOOKUP(--SUBSTITUTE(订单贴现表!$B$4,"期",""),规则表!$A$10:$B$14,2,FALSE))+AB52*(1-VLOOKUP(--SUBSTITUTE(订单贴现表!$B$5,"期",""),规则表!$A$10:$B$14,2,FALSE))+AB53*(1-VLOOKUP(--SUBSTITUTE(订单贴现表!$B$6,"期",""),规则表!$A$10:$B$14,2,FALSE))+订单贴现表!L7*(1-VLOOKUP(--SUBSTITUTE(订单贴现表!$B$7,"期",""),规则表!$A$10:$B$14,2,FALSE)),(AB49-AB50-AB51*(1-VLOOKUP(--SUBSTITUTE(订单贴现表!$B$4,"期",""),规则表!$A$10:$B$14,2,FALSE))-AB52*(1-VLOOKUP(--SUBSTITUTE(订单贴现表!$B$5,"期",""),规则表!$A$10:$B$14,2,FALSE))-AB53*(1-VLOOKUP(--SUBSTITUTE(订单贴现表!$B$6,"期",""),规则表!$A$10:$B$14,2,FALSE)))/(1-VLOOKUP(--SUBSTITUTE(订单贴现表!$B$7,"期",""),规则表!$A$10:$B$14,2,FALSE)),TRUE,订单贴现表!L7)</f>
        <v>0</v>
      </c>
      <c r="AC54" s="190" cm="1">
        <f t="array" aca="1" ref="AC54" ca="1">_xlfn.IFS(AC49&lt;=AC50+AC51*(1-VLOOKUP(--SUBSTITUTE(订单贴现表!$B$4,"期",""),规则表!$A$10:$B$14,2,FALSE))+AC52*(1-VLOOKUP(--SUBSTITUTE(订单贴现表!$B$5,"期",""),规则表!$A$10:$B$14,2,FALSE))+AC53*(1-VLOOKUP(--SUBSTITUTE(订单贴现表!$B$6,"期",""),规则表!$A$10:$B$14,2,FALSE)),0,AC49&lt;AC50+AC51*(1-VLOOKUP(--SUBSTITUTE(订单贴现表!$B$4,"期",""),规则表!$A$10:$B$14,2,FALSE))+AC52*(1-VLOOKUP(--SUBSTITUTE(订单贴现表!$B$5,"期",""),规则表!$A$10:$B$14,2,FALSE))+AC53*(1-VLOOKUP(--SUBSTITUTE(订单贴现表!$B$6,"期",""),规则表!$A$10:$B$14,2,FALSE))+订单贴现表!M7*(1-VLOOKUP(--SUBSTITUTE(订单贴现表!$B$7,"期",""),规则表!$A$10:$B$14,2,FALSE)),(AC49-AC50-AC51*(1-VLOOKUP(--SUBSTITUTE(订单贴现表!$B$4,"期",""),规则表!$A$10:$B$14,2,FALSE))-AC52*(1-VLOOKUP(--SUBSTITUTE(订单贴现表!$B$5,"期",""),规则表!$A$10:$B$14,2,FALSE))-AC53*(1-VLOOKUP(--SUBSTITUTE(订单贴现表!$B$6,"期",""),规则表!$A$10:$B$14,2,FALSE)))/(1-VLOOKUP(--SUBSTITUTE(订单贴现表!$B$7,"期",""),规则表!$A$10:$B$14,2,FALSE)),TRUE,订单贴现表!M7)</f>
        <v>0</v>
      </c>
      <c r="AD54" s="190" cm="1">
        <f t="array" aca="1" ref="AD54" ca="1">_xlfn.IFS(AD49&lt;=AD50+AD51*(1-VLOOKUP(--SUBSTITUTE(订单贴现表!$B$4,"期",""),规则表!$A$10:$B$14,2,FALSE))+AD52*(1-VLOOKUP(--SUBSTITUTE(订单贴现表!$B$5,"期",""),规则表!$A$10:$B$14,2,FALSE))+AD53*(1-VLOOKUP(--SUBSTITUTE(订单贴现表!$B$6,"期",""),规则表!$A$10:$B$14,2,FALSE)),0,AD49&lt;AD50+AD51*(1-VLOOKUP(--SUBSTITUTE(订单贴现表!$B$4,"期",""),规则表!$A$10:$B$14,2,FALSE))+AD52*(1-VLOOKUP(--SUBSTITUTE(订单贴现表!$B$5,"期",""),规则表!$A$10:$B$14,2,FALSE))+AD53*(1-VLOOKUP(--SUBSTITUTE(订单贴现表!$B$6,"期",""),规则表!$A$10:$B$14,2,FALSE))+订单贴现表!N7*(1-VLOOKUP(--SUBSTITUTE(订单贴现表!$B$7,"期",""),规则表!$A$10:$B$14,2,FALSE)),(AD49-AD50-AD51*(1-VLOOKUP(--SUBSTITUTE(订单贴现表!$B$4,"期",""),规则表!$A$10:$B$14,2,FALSE))-AD52*(1-VLOOKUP(--SUBSTITUTE(订单贴现表!$B$5,"期",""),规则表!$A$10:$B$14,2,FALSE))-AD53*(1-VLOOKUP(--SUBSTITUTE(订单贴现表!$B$6,"期",""),规则表!$A$10:$B$14,2,FALSE)))/(1-VLOOKUP(--SUBSTITUTE(订单贴现表!$B$7,"期",""),规则表!$A$10:$B$14,2,FALSE)),TRUE,订单贴现表!N7)</f>
        <v>0</v>
      </c>
      <c r="AI54" s="340"/>
      <c r="AJ54" s="184">
        <v>4</v>
      </c>
      <c r="AK54" s="190" cm="1">
        <f t="array" aca="1" ref="AK54" ca="1">_xlfn.IFS(AK49&lt;=AK50+AK51*(1-VLOOKUP(--SUBSTITUTE(订单贴现表!$B$4,"期",""),规则表!$A$10:$B$14,2,FALSE))+AK52*(1-VLOOKUP(--SUBSTITUTE(订单贴现表!$B$5,"期",""),规则表!$A$10:$B$14,2,FALSE))+AK53*(1-VLOOKUP(--SUBSTITUTE(订单贴现表!$B$6,"期",""),规则表!$A$10:$B$14,2,FALSE)),0,AK49&lt;AK50+AK51*(1-VLOOKUP(--SUBSTITUTE(订单贴现表!$B$4,"期",""),规则表!$A$10:$B$14,2,FALSE))+AK52*(1-VLOOKUP(--SUBSTITUTE(订单贴现表!$B$5,"期",""),规则表!$A$10:$B$14,2,FALSE))+AK53*(1-VLOOKUP(--SUBSTITUTE(订单贴现表!$B$6,"期",""),规则表!$A$10:$B$14,2,FALSE))+订单贴现表!O7*(1-VLOOKUP(--SUBSTITUTE(订单贴现表!$B$7,"期",""),规则表!$A$10:$B$14,2,FALSE)),(AK49-AK50-AK51*(1-VLOOKUP(--SUBSTITUTE(订单贴现表!$B$4,"期",""),规则表!$A$10:$B$14,2,FALSE))-AK52*(1-VLOOKUP(--SUBSTITUTE(订单贴现表!$B$5,"期",""),规则表!$A$10:$B$14,2,FALSE))-AK53*(1-VLOOKUP(--SUBSTITUTE(订单贴现表!$B$6,"期",""),规则表!$A$10:$B$14,2,FALSE)))/(1-VLOOKUP(--SUBSTITUTE(订单贴现表!$B$7,"期",""),规则表!$A$10:$B$14,2,FALSE)),TRUE,订单贴现表!O7)</f>
        <v>0</v>
      </c>
      <c r="AL54" s="190" cm="1">
        <f t="array" aca="1" ref="AL54" ca="1">_xlfn.IFS(AL49&lt;=AL50+AL51*(1-VLOOKUP(--SUBSTITUTE(订单贴现表!$B$4,"期",""),规则表!$A$10:$B$14,2,FALSE))+AL52*(1-VLOOKUP(--SUBSTITUTE(订单贴现表!$B$5,"期",""),规则表!$A$10:$B$14,2,FALSE))+AL53*(1-VLOOKUP(--SUBSTITUTE(订单贴现表!$B$6,"期",""),规则表!$A$10:$B$14,2,FALSE)),0,AL49&lt;AL50+AL51*(1-VLOOKUP(--SUBSTITUTE(订单贴现表!$B$4,"期",""),规则表!$A$10:$B$14,2,FALSE))+AL52*(1-VLOOKUP(--SUBSTITUTE(订单贴现表!$B$5,"期",""),规则表!$A$10:$B$14,2,FALSE))+AL53*(1-VLOOKUP(--SUBSTITUTE(订单贴现表!$B$6,"期",""),规则表!$A$10:$B$14,2,FALSE))+订单贴现表!P7*(1-VLOOKUP(--SUBSTITUTE(订单贴现表!$B$7,"期",""),规则表!$A$10:$B$14,2,FALSE)),(AL49-AL50-AL51*(1-VLOOKUP(--SUBSTITUTE(订单贴现表!$B$4,"期",""),规则表!$A$10:$B$14,2,FALSE))-AL52*(1-VLOOKUP(--SUBSTITUTE(订单贴现表!$B$5,"期",""),规则表!$A$10:$B$14,2,FALSE))-AL53*(1-VLOOKUP(--SUBSTITUTE(订单贴现表!$B$6,"期",""),规则表!$A$10:$B$14,2,FALSE)))/(1-VLOOKUP(--SUBSTITUTE(订单贴现表!$B$7,"期",""),规则表!$A$10:$B$14,2,FALSE)),TRUE,订单贴现表!P7)</f>
        <v>0</v>
      </c>
      <c r="AM54" s="190" cm="1">
        <f t="array" aca="1" ref="AM54" ca="1">_xlfn.IFS(AM49&lt;=AM50+AM51*(1-VLOOKUP(--SUBSTITUTE(订单贴现表!$B$4,"期",""),规则表!$A$10:$B$14,2,FALSE))+AM52*(1-VLOOKUP(--SUBSTITUTE(订单贴现表!$B$5,"期",""),规则表!$A$10:$B$14,2,FALSE))+AM53*(1-VLOOKUP(--SUBSTITUTE(订单贴现表!$B$6,"期",""),规则表!$A$10:$B$14,2,FALSE)),0,AM49&lt;AM50+AM51*(1-VLOOKUP(--SUBSTITUTE(订单贴现表!$B$4,"期",""),规则表!$A$10:$B$14,2,FALSE))+AM52*(1-VLOOKUP(--SUBSTITUTE(订单贴现表!$B$5,"期",""),规则表!$A$10:$B$14,2,FALSE))+AM53*(1-VLOOKUP(--SUBSTITUTE(订单贴现表!$B$6,"期",""),规则表!$A$10:$B$14,2,FALSE))+订单贴现表!Q7*(1-VLOOKUP(--SUBSTITUTE(订单贴现表!$B$7,"期",""),规则表!$A$10:$B$14,2,FALSE)),(AM49-AM50-AM51*(1-VLOOKUP(--SUBSTITUTE(订单贴现表!$B$4,"期",""),规则表!$A$10:$B$14,2,FALSE))-AM52*(1-VLOOKUP(--SUBSTITUTE(订单贴现表!$B$5,"期",""),规则表!$A$10:$B$14,2,FALSE))-AM53*(1-VLOOKUP(--SUBSTITUTE(订单贴现表!$B$6,"期",""),规则表!$A$10:$B$14,2,FALSE)))/(1-VLOOKUP(--SUBSTITUTE(订单贴现表!$B$7,"期",""),规则表!$A$10:$B$14,2,FALSE)),TRUE,订单贴现表!Q7)</f>
        <v>0</v>
      </c>
      <c r="AN54" s="190" cm="1">
        <f t="array" aca="1" ref="AN54" ca="1">_xlfn.IFS(AN49&lt;=AN50+AN51*(1-VLOOKUP(--SUBSTITUTE(订单贴现表!$B$4,"期",""),规则表!$A$10:$B$14,2,FALSE))+AN52*(1-VLOOKUP(--SUBSTITUTE(订单贴现表!$B$5,"期",""),规则表!$A$10:$B$14,2,FALSE))+AN53*(1-VLOOKUP(--SUBSTITUTE(订单贴现表!$B$6,"期",""),规则表!$A$10:$B$14,2,FALSE)),0,AN49&lt;AN50+AN51*(1-VLOOKUP(--SUBSTITUTE(订单贴现表!$B$4,"期",""),规则表!$A$10:$B$14,2,FALSE))+AN52*(1-VLOOKUP(--SUBSTITUTE(订单贴现表!$B$5,"期",""),规则表!$A$10:$B$14,2,FALSE))+AN53*(1-VLOOKUP(--SUBSTITUTE(订单贴现表!$B$6,"期",""),规则表!$A$10:$B$14,2,FALSE))+订单贴现表!R7*(1-VLOOKUP(--SUBSTITUTE(订单贴现表!$B$7,"期",""),规则表!$A$10:$B$14,2,FALSE)),(AN49-AN50-AN51*(1-VLOOKUP(--SUBSTITUTE(订单贴现表!$B$4,"期",""),规则表!$A$10:$B$14,2,FALSE))-AN52*(1-VLOOKUP(--SUBSTITUTE(订单贴现表!$B$5,"期",""),规则表!$A$10:$B$14,2,FALSE))-AN53*(1-VLOOKUP(--SUBSTITUTE(订单贴现表!$B$6,"期",""),规则表!$A$10:$B$14,2,FALSE)))/(1-VLOOKUP(--SUBSTITUTE(订单贴现表!$B$7,"期",""),规则表!$A$10:$B$14,2,FALSE)),TRUE,订单贴现表!R7)</f>
        <v>0</v>
      </c>
    </row>
    <row r="55" spans="1:40" ht="14.25">
      <c r="A55" s="340" t="s">
        <v>178</v>
      </c>
      <c r="B55" s="340"/>
      <c r="C55" s="193">
        <f ca="1">IF((C49-C50-C51*(1-规则表!$B$11)-C52*(1-规则表!$B$12)-C53*(1-规则表!$B$13)-C54*(1-规则表!$B$14))&gt;0,C49-C50-C51*(1-规则表!$B$11)-C52*(1-规则表!$B$12)-C53*(1-规则表!$B$13)-C54*(1-规则表!$B$14),0)</f>
        <v>0</v>
      </c>
      <c r="D55" s="193">
        <f ca="1">IF((D49-D50-D51*(1-规则表!$B$11)-D52*(1-规则表!$B$12)-D53*(1-规则表!$B$13)-D54*(1-规则表!$B$14))&gt;0,D49-D50-D51*(1-规则表!$B$11)-D52*(1-规则表!$B$12)-D53*(1-规则表!$B$13)-D54*(1-规则表!$B$14),0)</f>
        <v>0</v>
      </c>
      <c r="E55" s="193">
        <f ca="1">IF((E49-E50-E51*(1-规则表!$B$11)-E52*(1-规则表!$B$12)-E53*(1-规则表!$B$13)-E54*(1-规则表!$B$14))&gt;0,E49-E50-E51*(1-规则表!$B$11)-E52*(1-规则表!$B$12)-E53*(1-规则表!$B$13)-E54*(1-规则表!$B$14),0)</f>
        <v>0</v>
      </c>
      <c r="F55" s="193">
        <f ca="1">IF((F49-F50-F51*(1-规则表!$B$11)-F52*(1-规则表!$B$12)-F53*(1-规则表!$B$13)-F54*(1-规则表!$B$14))&gt;0,F49-F50-F51*(1-规则表!$B$11)-F52*(1-规则表!$B$12)-F53*(1-规则表!$B$13)-F54*(1-规则表!$B$14),0)</f>
        <v>0</v>
      </c>
      <c r="H55" s="194" t="str">
        <v>P2</v>
      </c>
      <c r="I55" s="67">
        <v>40000</v>
      </c>
      <c r="J55" s="67">
        <v>2</v>
      </c>
      <c r="K55" s="195">
        <f>IFERROR(_xlfn.MINIFS(原始订单表!L:L,原始订单表!E:E,H55)-VLOOKUP(H55,$H$53:$J$70,3,FALSE),0)</f>
        <v>0</v>
      </c>
      <c r="M55" s="340" t="s">
        <v>178</v>
      </c>
      <c r="N55" s="340"/>
      <c r="O55" s="193">
        <f ca="1">IF((O49-O50-O51*(1-规则表!$B$11)-O52*(1-规则表!$B$12)-O53*(1-规则表!$B$13)-O54*(1-规则表!$B$14))&gt;0,O49-O50-O51*(1-规则表!$B$11)-O52*(1-规则表!$B$12)-O53*(1-规则表!$B$13)-O54*(1-规则表!$B$14),0)</f>
        <v>0</v>
      </c>
      <c r="P55" s="193">
        <f ca="1">IF((P49-P50-P51*(1-规则表!$B$11)-P52*(1-规则表!$B$12)-P53*(1-规则表!$B$13)-P54*(1-规则表!$B$14))&gt;0,P49-P50-P51*(1-规则表!$B$11)-P52*(1-规则表!$B$12)-P53*(1-规则表!$B$13)-P54*(1-规则表!$B$14),0)</f>
        <v>0</v>
      </c>
      <c r="Q55" s="193">
        <f ca="1">IF((Q49-Q50-Q51*(1-规则表!$B$11)-Q52*(1-规则表!$B$12)-Q53*(1-规则表!$B$13)-Q54*(1-规则表!$B$14))&gt;0,Q49-Q50-Q51*(1-规则表!$B$11)-Q52*(1-规则表!$B$12)-Q53*(1-规则表!$B$13)-Q54*(1-规则表!$B$14),0)</f>
        <v>0</v>
      </c>
      <c r="R55" s="193">
        <f ca="1">IF((R49-R50-R51*(1-规则表!$B$11)-R52*(1-规则表!$B$12)-R53*(1-规则表!$B$13)-R54*(1-规则表!$B$14))&gt;0,R49-R50-R51*(1-规则表!$B$11)-R52*(1-规则表!$B$12)-R53*(1-规则表!$B$13)-R54*(1-规则表!$B$14),0)</f>
        <v>0</v>
      </c>
      <c r="Y55" s="340" t="s">
        <v>178</v>
      </c>
      <c r="Z55" s="340"/>
      <c r="AA55" s="193">
        <f ca="1">IF((AA49-AA50-AA51*(1-规则表!$B$11)-AA52*(1-规则表!$B$12)-AA53*(1-规则表!$B$13)-AA54*(1-规则表!$B$14))&gt;0,AA49-AA50-AA51*(1-规则表!$B$11)-AA52*(1-规则表!$B$12)-AA53*(1-规则表!$B$13)-AA54*(1-规则表!$B$14),0)</f>
        <v>0</v>
      </c>
      <c r="AB55" s="193">
        <f ca="1">IF((AB49-AB50-AB51*(1-规则表!$B$11)-AB52*(1-规则表!$B$12)-AB53*(1-规则表!$B$13)-AB54*(1-规则表!$B$14))&gt;0,AB49-AB50-AB51*(1-规则表!$B$11)-AB52*(1-规则表!$B$12)-AB53*(1-规则表!$B$13)-AB54*(1-规则表!$B$14),0)</f>
        <v>0</v>
      </c>
      <c r="AC55" s="193">
        <f ca="1">IF((AC49-AC50-AC51*(1-规则表!$B$11)-AC52*(1-规则表!$B$12)-AC53*(1-规则表!$B$13)-AC54*(1-规则表!$B$14))&gt;0,AC49-AC50-AC51*(1-规则表!$B$11)-AC52*(1-规则表!$B$12)-AC53*(1-规则表!$B$13)-AC54*(1-规则表!$B$14),0)</f>
        <v>0</v>
      </c>
      <c r="AD55" s="193">
        <f ca="1">IF((AD49-AD50-AD51*(1-规则表!$B$11)-AD52*(1-规则表!$B$12)-AD53*(1-规则表!$B$13)-AD54*(1-规则表!$B$14))&gt;0,AD49-AD50-AD51*(1-规则表!$B$11)-AD52*(1-规则表!$B$12)-AD53*(1-规则表!$B$13)-AD54*(1-规则表!$B$14),0)</f>
        <v>0</v>
      </c>
      <c r="AI55" s="340" t="s">
        <v>178</v>
      </c>
      <c r="AJ55" s="340"/>
      <c r="AK55" s="193">
        <f ca="1">IF((AK49-AK50-AK51*(1-规则表!$B$11)-AK52*(1-规则表!$B$12)-AK53*(1-规则表!$B$13)-AK54*(1-规则表!$B$14))&gt;0,AK49-AK50-AK51*(1-规则表!$B$11)-AK52*(1-规则表!$B$12)-AK53*(1-规则表!$B$13)-AK54*(1-规则表!$B$14),0)</f>
        <v>0</v>
      </c>
      <c r="AL55" s="193">
        <f ca="1">IF((AL49-AL50-AL51*(1-规则表!$B$11)-AL52*(1-规则表!$B$12)-AL53*(1-规则表!$B$13)-AL54*(1-规则表!$B$14))&gt;0,AL49-AL50-AL51*(1-规则表!$B$11)-AL52*(1-规则表!$B$12)-AL53*(1-规则表!$B$13)-AL54*(1-规则表!$B$14),0)</f>
        <v>0</v>
      </c>
      <c r="AM55" s="193">
        <f ca="1">IF((AM49-AM50-AM51*(1-规则表!$B$11)-AM52*(1-规则表!$B$12)-AM53*(1-规则表!$B$13)-AM54*(1-规则表!$B$14))&gt;0,AM49-AM50-AM51*(1-规则表!$B$11)-AM52*(1-规则表!$B$12)-AM53*(1-规则表!$B$13)-AM54*(1-规则表!$B$14),0)</f>
        <v>0</v>
      </c>
      <c r="AN55" s="193">
        <f ca="1">IF((AN49-AN50-AN51*(1-规则表!$B$11)-AN52*(1-规则表!$B$12)-AN53*(1-规则表!$B$13)-AN54*(1-规则表!$B$14))&gt;0,AN49-AN50-AN51*(1-规则表!$B$11)-AN52*(1-规则表!$B$12)-AN53*(1-规则表!$B$13)-AN54*(1-规则表!$B$14),0)</f>
        <v>0</v>
      </c>
    </row>
    <row r="56" spans="1:40" ht="14.25">
      <c r="H56" s="194" t="str">
        <v>P3</v>
      </c>
      <c r="I56" s="67">
        <v>60000</v>
      </c>
      <c r="J56" s="67">
        <v>4</v>
      </c>
      <c r="K56" s="195">
        <f>IFERROR(_xlfn.MINIFS(原始订单表!L:L,原始订单表!E:E,H56)-VLOOKUP(H56,$H$53:$J$70,3,FALSE),0)</f>
        <v>1</v>
      </c>
    </row>
    <row r="57" spans="1:40" ht="14.25">
      <c r="H57" s="196" t="str">
        <v>P4</v>
      </c>
      <c r="I57" s="67">
        <v>90000</v>
      </c>
      <c r="J57" s="67">
        <v>6</v>
      </c>
      <c r="K57" s="197">
        <f>IFERROR(_xlfn.MINIFS(原始订单表!L:L,原始订单表!E:E,H57)-VLOOKUP(H57,$H$53:$J$70,3,FALSE),0)</f>
        <v>-1</v>
      </c>
    </row>
    <row r="58" spans="1:40" ht="14.25">
      <c r="H58" s="196"/>
      <c r="I58" s="67"/>
      <c r="J58" s="67"/>
      <c r="K58" s="197">
        <f>IFERROR(_xlfn.MINIFS(原始订单表!L:L,原始订单表!E:E,H58)-VLOOKUP(H58,$H$53:$J$70,3,FALSE),0)</f>
        <v>0</v>
      </c>
    </row>
    <row r="60" spans="1:40">
      <c r="H60" s="186" t="str" cm="1">
        <f t="array" ref="H60:H64">_xlfn.TOCOL(_xlfn.TAKE(_xlfn.UNIQUE(原始订单表!$D$1:$D$1000),COUNTA(_xlfn.UNIQUE(原始订单表!$D$1:$D$1000))+1),1)</f>
        <v>市场</v>
      </c>
      <c r="I60" s="187" t="s">
        <v>175</v>
      </c>
      <c r="J60" s="188" t="s">
        <v>176</v>
      </c>
      <c r="K60" s="186" t="e" cm="1">
        <f t="array" ref="K60">MIN(_xlfn._xlws.FILTER(原始订单表!$L:$L,原始订单表!$E:$E=H60,0))-VLOOKUP(H60,$H$53:$J$70,3,FALSE)</f>
        <v>#VALUE!</v>
      </c>
      <c r="O60" s="198"/>
    </row>
    <row r="61" spans="1:40" ht="14.25">
      <c r="H61" s="199" t="str">
        <v>国内市场</v>
      </c>
      <c r="I61" s="67">
        <v>20000</v>
      </c>
      <c r="J61" s="67">
        <v>1</v>
      </c>
      <c r="K61" s="192">
        <f>IFERROR(_xlfn.MINIFS(原始订单表!L:L,原始订单表!D:D,H61)-VLOOKUP(H61,$H$53:$J$70,3,FALSE),0)</f>
        <v>1</v>
      </c>
    </row>
    <row r="62" spans="1:40" ht="15" customHeight="1">
      <c r="H62" s="200" t="str">
        <v>亚洲市场</v>
      </c>
      <c r="I62" s="67">
        <v>40000</v>
      </c>
      <c r="J62" s="67">
        <v>2</v>
      </c>
      <c r="K62" s="195">
        <f>IFERROR(_xlfn.MINIFS(原始订单表!L:L,原始订单表!D:D,H62)-VLOOKUP(H62,$H$53:$J$70,3,FALSE),0)</f>
        <v>1</v>
      </c>
    </row>
    <row r="63" spans="1:40" ht="14.25">
      <c r="H63" s="200" t="str">
        <v>欧洲市场</v>
      </c>
      <c r="I63" s="67">
        <v>80000</v>
      </c>
      <c r="J63" s="67">
        <v>4</v>
      </c>
      <c r="K63" s="195">
        <f>IFERROR(_xlfn.MINIFS(原始订单表!L:L,原始订单表!D:D,H63)-VLOOKUP(H63,$H$53:$J$70,3,FALSE),0)</f>
        <v>1</v>
      </c>
      <c r="L63" s="34"/>
    </row>
    <row r="64" spans="1:40" ht="14.25">
      <c r="H64" s="201" t="str">
        <v>美洲市场</v>
      </c>
      <c r="I64" s="67">
        <v>100000</v>
      </c>
      <c r="J64" s="67">
        <v>4</v>
      </c>
      <c r="K64" s="195">
        <f>IFERROR(_xlfn.MINIFS(原始订单表!L:L,原始订单表!D:D,H64)-VLOOKUP(H64,$H$53:$J$70,3,FALSE),0)</f>
        <v>2</v>
      </c>
    </row>
    <row r="65" spans="2:23">
      <c r="H65" s="196"/>
      <c r="I65" s="202"/>
      <c r="J65" s="202"/>
      <c r="K65" s="197">
        <f>IFERROR(_xlfn.MINIFS(原始订单表!L:L,原始订单表!D:D,H65)-VLOOKUP(H65,$H$53:$J$70,3,FALSE),0)</f>
        <v>0</v>
      </c>
    </row>
    <row r="67" spans="2:23">
      <c r="H67" s="186" t="str" cm="1">
        <f t="array" ref="H67:H71">_xlfn.TOCOL(_xlfn.TAKE(_xlfn.UNIQUE(原始订单表!K1:K1000),COUNTA(_xlfn.UNIQUE(原始订单表!K1:K1000))+1),1)</f>
        <v>认证</v>
      </c>
      <c r="I67" s="187" t="s">
        <v>175</v>
      </c>
      <c r="J67" s="188" t="s">
        <v>176</v>
      </c>
      <c r="K67" s="186" t="e">
        <f>_xlfn.MINIFS(原始订单表!L:L,原始订单表!D:D,H67)-VLOOKUP(H67,$H$53:$J$72,3,FALSE)</f>
        <v>#VALUE!</v>
      </c>
    </row>
    <row r="68" spans="2:23" ht="14.25">
      <c r="H68" s="203" t="str">
        <v xml:space="preserve"> </v>
      </c>
      <c r="I68" s="67">
        <v>40000</v>
      </c>
      <c r="J68" s="67">
        <v>1</v>
      </c>
      <c r="K68" s="204">
        <f>IFERROR(_xlfn.MINIFS(原始订单表!L:L,原始订单表!K:K,H68)-VLOOKUP(H68,$H$53:$J$70,3,FALSE),0)</f>
        <v>1</v>
      </c>
    </row>
    <row r="69" spans="2:23" ht="14.25">
      <c r="H69" s="200" t="str">
        <v>IS09000</v>
      </c>
      <c r="I69" s="67">
        <v>60000</v>
      </c>
      <c r="J69" s="67">
        <v>2</v>
      </c>
      <c r="K69" s="195">
        <f>IFERROR(_xlfn.MINIFS(原始订单表!L:L,原始订单表!K:K,H69)-VLOOKUP(H69,$H$53:$J$70,3,FALSE),0)</f>
        <v>1</v>
      </c>
    </row>
    <row r="70" spans="2:23" ht="35.25">
      <c r="B70" s="205"/>
      <c r="C70" s="205"/>
      <c r="D70" s="205"/>
      <c r="E70" s="205"/>
      <c r="F70" s="205"/>
      <c r="H70" s="196" t="str">
        <v>IS014000</v>
      </c>
      <c r="I70" s="67">
        <v>100000</v>
      </c>
      <c r="J70" s="67">
        <v>4</v>
      </c>
      <c r="K70" s="197">
        <f>IFERROR(_xlfn.MINIFS(原始订单表!L:L,原始订单表!K:K,H70)-VLOOKUP(H70,$H$53:$J$70,3,FALSE),0)</f>
        <v>1</v>
      </c>
    </row>
    <row r="71" spans="2:23" ht="35.25">
      <c r="B71" s="205"/>
      <c r="C71" s="205"/>
      <c r="D71" s="205"/>
      <c r="E71" s="205"/>
      <c r="F71" s="205"/>
      <c r="H71" s="196" t="str">
        <v>IS021000</v>
      </c>
      <c r="I71" s="67">
        <v>20001</v>
      </c>
      <c r="J71" s="67">
        <v>5</v>
      </c>
      <c r="K71" s="197">
        <f>IFERROR(_xlfn.MINIFS(原始订单表!L:L,原始订单表!K:K,H71)-VLOOKUP(H71,$H$53:$J$70,3,FALSE),0)</f>
        <v>0</v>
      </c>
    </row>
    <row r="72" spans="2:23" ht="35.25">
      <c r="B72" s="205"/>
      <c r="C72" s="205"/>
      <c r="D72" s="205"/>
      <c r="E72" s="205"/>
      <c r="F72" s="205"/>
      <c r="H72" s="196"/>
      <c r="I72" s="206">
        <v>20002</v>
      </c>
      <c r="J72" s="206">
        <v>6</v>
      </c>
      <c r="K72" s="197">
        <f>IFERROR(_xlfn.MINIFS(原始订单表!L:L,原始订单表!K:K,H72)-VLOOKUP(H72,$H$53:$J$70,3,FALSE),0)</f>
        <v>0</v>
      </c>
    </row>
    <row r="73" spans="2:23" ht="35.25" hidden="1">
      <c r="B73" s="205"/>
      <c r="C73" s="205"/>
      <c r="D73" s="205"/>
      <c r="E73" s="205"/>
      <c r="F73" s="205"/>
      <c r="T73" s="349" t="s">
        <v>179</v>
      </c>
      <c r="U73" s="350"/>
      <c r="V73" s="350"/>
      <c r="W73" s="350"/>
    </row>
    <row r="74" spans="2:23" ht="35.25" hidden="1">
      <c r="B74" s="205"/>
      <c r="C74" s="205"/>
      <c r="D74" s="205"/>
      <c r="E74" s="205"/>
      <c r="F74" s="205"/>
      <c r="T74" s="44" t="s">
        <v>155</v>
      </c>
      <c r="U74" s="44">
        <v>2.2000000000000002</v>
      </c>
      <c r="V74" s="44">
        <v>2.2999999999999998</v>
      </c>
      <c r="W74" s="207">
        <v>2.4</v>
      </c>
    </row>
    <row r="75" spans="2:23" ht="16.5" hidden="1">
      <c r="B75" s="64" t="s">
        <v>180</v>
      </c>
      <c r="C75" s="64" t="s">
        <v>181</v>
      </c>
      <c r="T75" s="44" t="str">
        <f>S27</f>
        <v>P1</v>
      </c>
      <c r="U75" s="208">
        <f ca="1">INT(MIN($Q$46,$P$46,$V$23)/((材料表!H47+$U$81*0.75)*材料表!$N$44))</f>
        <v>235</v>
      </c>
      <c r="V75" s="44">
        <f ca="1">INT(MIN($Q$46,$V$23)/((材料表!H47+$V$81*0.75)*材料表!$N$44))</f>
        <v>54</v>
      </c>
      <c r="W75" s="209">
        <f>INT($V$23/(材料表!H47*材料表!$N$44))</f>
        <v>0</v>
      </c>
    </row>
    <row r="76" spans="2:23" ht="16.5" hidden="1">
      <c r="T76" s="44" t="str">
        <f>S28</f>
        <v>P2</v>
      </c>
      <c r="U76" s="208">
        <f ca="1">INT(MIN($Q$46,$P$46,$V$23)/((材料表!H48+$U$81*0.75)*材料表!$N$44))</f>
        <v>130</v>
      </c>
      <c r="V76" s="44">
        <f ca="1">INT(MIN($Q$46,$V$23)/((材料表!H48+$V$81*0.75)*材料表!$N$44))</f>
        <v>50</v>
      </c>
      <c r="W76" s="209">
        <f>INT($V$23/(材料表!H48*材料表!$N$44))</f>
        <v>0</v>
      </c>
    </row>
    <row r="77" spans="2:23" ht="16.5" hidden="1">
      <c r="T77" s="44" t="str">
        <f>S29</f>
        <v>P3</v>
      </c>
      <c r="U77" s="208">
        <f ca="1">INT(MIN($Q$46,$P$46,$V$23)/((材料表!H49+$U$81*0.75)*材料表!$N$44))</f>
        <v>78</v>
      </c>
      <c r="V77" s="44">
        <f ca="1">INT(MIN($Q$46,$V$23)/((材料表!H49+$V$81*0.75)*材料表!$N$44))</f>
        <v>45</v>
      </c>
      <c r="W77" s="209">
        <f>INT($V$23/(材料表!H49*材料表!$N$44))</f>
        <v>0</v>
      </c>
    </row>
    <row r="78" spans="2:23" ht="16.5" hidden="1">
      <c r="T78" s="208" t="str">
        <f>S30</f>
        <v>P4</v>
      </c>
      <c r="U78" s="208">
        <f ca="1">INT(MIN($Q$46,$P$46,$V$23)/((材料表!H50+$U$81*0.75)*材料表!$N$44))</f>
        <v>51</v>
      </c>
      <c r="V78" s="44">
        <f ca="1">INT(MIN($Q$46,$V$23)/((材料表!H50+$V$81*0.75)*材料表!$N$44))</f>
        <v>40</v>
      </c>
      <c r="W78" s="209">
        <f>INT($V$23/(材料表!H50*材料表!$N$44))</f>
        <v>0</v>
      </c>
    </row>
    <row r="79" spans="2:23" ht="16.5" hidden="1">
      <c r="T79" s="208">
        <f>S31</f>
        <v>0</v>
      </c>
      <c r="U79" s="208" t="e">
        <f ca="1">INT(MIN($Q$46,$P$46,$V$23)/((材料表!H51+$U$81*0.75)*材料表!$N$44))</f>
        <v>#DIV/0!</v>
      </c>
      <c r="V79" s="208">
        <f ca="1">INT(MIN($Q$46,$V$23)/((材料表!H51+$V$81*0.75)*材料表!$N$44))</f>
        <v>60</v>
      </c>
      <c r="W79" s="209" t="e">
        <f>INT($V$23/(材料表!H51*材料表!$N$44))</f>
        <v>#DIV/0!</v>
      </c>
    </row>
    <row r="80" spans="2:23" ht="16.5" hidden="1">
      <c r="T80" s="43"/>
      <c r="U80" s="210" t="s">
        <v>182</v>
      </c>
      <c r="V80" s="210" t="s">
        <v>182</v>
      </c>
      <c r="W80" s="43"/>
    </row>
    <row r="81" spans="2:22" hidden="1">
      <c r="U81" s="211"/>
      <c r="V81" s="211">
        <v>6000</v>
      </c>
    </row>
    <row r="82" spans="2:22" hidden="1">
      <c r="B82" s="339" t="s">
        <v>183</v>
      </c>
      <c r="C82" s="339"/>
      <c r="D82" s="339"/>
      <c r="E82" s="339"/>
      <c r="F82" s="339"/>
    </row>
    <row r="83" spans="2:22" hidden="1">
      <c r="B83" s="343" t="s">
        <v>184</v>
      </c>
      <c r="C83" s="344"/>
      <c r="D83" s="344"/>
      <c r="E83" s="344"/>
      <c r="F83" s="344"/>
    </row>
    <row r="84" spans="2:22" hidden="1">
      <c r="B84" s="344"/>
      <c r="C84" s="344"/>
      <c r="D84" s="344"/>
      <c r="E84" s="344"/>
      <c r="F84" s="344"/>
    </row>
    <row r="85" spans="2:22" hidden="1">
      <c r="B85" s="344"/>
      <c r="C85" s="344"/>
      <c r="D85" s="344"/>
      <c r="E85" s="344"/>
      <c r="F85" s="344"/>
    </row>
    <row r="86" spans="2:22" hidden="1">
      <c r="B86" s="344"/>
      <c r="C86" s="344"/>
      <c r="D86" s="344"/>
      <c r="E86" s="344"/>
      <c r="F86" s="344"/>
    </row>
    <row r="87" spans="2:22" hidden="1">
      <c r="B87" s="344"/>
      <c r="C87" s="344"/>
      <c r="D87" s="344"/>
      <c r="E87" s="344"/>
      <c r="F87" s="344"/>
    </row>
    <row r="88" spans="2:22" hidden="1">
      <c r="B88" s="344"/>
      <c r="C88" s="344"/>
      <c r="D88" s="344"/>
      <c r="E88" s="344"/>
      <c r="F88" s="344"/>
    </row>
    <row r="89" spans="2:22" hidden="1">
      <c r="B89" s="344"/>
      <c r="C89" s="344"/>
      <c r="D89" s="344"/>
      <c r="E89" s="344"/>
      <c r="F89" s="344"/>
    </row>
    <row r="90" spans="2:22" hidden="1">
      <c r="B90" s="345" t="s">
        <v>185</v>
      </c>
      <c r="C90" s="345"/>
      <c r="D90" s="345"/>
      <c r="E90" s="345"/>
      <c r="F90" s="345"/>
    </row>
    <row r="91" spans="2:22" hidden="1">
      <c r="B91" s="345"/>
      <c r="C91" s="345"/>
      <c r="D91" s="345"/>
      <c r="E91" s="345"/>
      <c r="F91" s="345"/>
    </row>
    <row r="92" spans="2:22" hidden="1">
      <c r="B92" s="345"/>
      <c r="C92" s="345"/>
      <c r="D92" s="345"/>
      <c r="E92" s="345"/>
      <c r="F92" s="345"/>
    </row>
    <row r="93" spans="2:22" hidden="1">
      <c r="B93" s="345"/>
      <c r="C93" s="345"/>
      <c r="D93" s="345"/>
      <c r="E93" s="345"/>
      <c r="F93" s="345"/>
    </row>
    <row r="94" spans="2:22" hidden="1">
      <c r="B94" s="345"/>
      <c r="C94" s="345"/>
      <c r="D94" s="345"/>
      <c r="E94" s="345"/>
      <c r="F94" s="345"/>
    </row>
    <row r="95" spans="2:22" hidden="1">
      <c r="B95" s="345"/>
      <c r="C95" s="345"/>
      <c r="D95" s="345"/>
      <c r="E95" s="345"/>
      <c r="F95" s="345"/>
    </row>
    <row r="96" spans="2:22" hidden="1">
      <c r="B96" s="345"/>
      <c r="C96" s="345"/>
      <c r="D96" s="345"/>
      <c r="E96" s="345"/>
      <c r="F96" s="345"/>
    </row>
    <row r="97" spans="2:6" hidden="1">
      <c r="B97" s="345"/>
      <c r="C97" s="345"/>
      <c r="D97" s="345"/>
      <c r="E97" s="345"/>
      <c r="F97" s="345"/>
    </row>
    <row r="98" spans="2:6" hidden="1">
      <c r="B98" s="345"/>
      <c r="C98" s="345"/>
      <c r="D98" s="345"/>
      <c r="E98" s="345"/>
      <c r="F98" s="345"/>
    </row>
    <row r="99" spans="2:6" hidden="1">
      <c r="B99" s="345"/>
      <c r="C99" s="345"/>
      <c r="D99" s="345"/>
      <c r="E99" s="345"/>
      <c r="F99" s="345"/>
    </row>
    <row r="100" spans="2:6" hidden="1">
      <c r="B100" s="345"/>
      <c r="C100" s="345"/>
      <c r="D100" s="345"/>
      <c r="E100" s="345"/>
      <c r="F100" s="345"/>
    </row>
    <row r="101" spans="2:6" hidden="1">
      <c r="B101" s="345"/>
      <c r="C101" s="345"/>
      <c r="D101" s="345"/>
      <c r="E101" s="345"/>
      <c r="F101" s="345"/>
    </row>
    <row r="102" spans="2:6" hidden="1">
      <c r="B102" s="345"/>
      <c r="C102" s="345"/>
      <c r="D102" s="345"/>
      <c r="E102" s="345"/>
      <c r="F102" s="345"/>
    </row>
    <row r="103" spans="2:6" hidden="1">
      <c r="B103" s="345"/>
      <c r="C103" s="345"/>
      <c r="D103" s="345"/>
      <c r="E103" s="345"/>
      <c r="F103" s="345"/>
    </row>
    <row r="104" spans="2:6" hidden="1">
      <c r="B104" s="345"/>
      <c r="C104" s="345"/>
      <c r="D104" s="345"/>
      <c r="E104" s="345"/>
      <c r="F104" s="345"/>
    </row>
  </sheetData>
  <sheetProtection formatCells="0" formatColumns="0" formatRows="0" insertColumns="0" insertRows="0" insertHyperlinks="0" deleteColumns="0" deleteRows="0" sort="0" autoFilter="0" pivotTables="0"/>
  <mergeCells count="61">
    <mergeCell ref="Y50:Y54"/>
    <mergeCell ref="AI50:AI54"/>
    <mergeCell ref="B83:F89"/>
    <mergeCell ref="B90:F104"/>
    <mergeCell ref="K4:M6"/>
    <mergeCell ref="B82:F82"/>
    <mergeCell ref="Y55:Z55"/>
    <mergeCell ref="AI55:AJ55"/>
    <mergeCell ref="T73:W73"/>
    <mergeCell ref="Z39:AD39"/>
    <mergeCell ref="AJ39:AN39"/>
    <mergeCell ref="AF36:AG36"/>
    <mergeCell ref="Z30:AD30"/>
    <mergeCell ref="AJ30:AN30"/>
    <mergeCell ref="AF34:AG34"/>
    <mergeCell ref="K12:M12"/>
    <mergeCell ref="A50:A54"/>
    <mergeCell ref="G25:G26"/>
    <mergeCell ref="M50:M54"/>
    <mergeCell ref="A55:B55"/>
    <mergeCell ref="M55:N55"/>
    <mergeCell ref="B39:F39"/>
    <mergeCell ref="N39:R39"/>
    <mergeCell ref="B30:F30"/>
    <mergeCell ref="AP40:AQ40"/>
    <mergeCell ref="AF41:AG41"/>
    <mergeCell ref="AP41:AQ41"/>
    <mergeCell ref="O47:R47"/>
    <mergeCell ref="A49:B49"/>
    <mergeCell ref="M49:N49"/>
    <mergeCell ref="Y49:Z49"/>
    <mergeCell ref="AI49:AJ49"/>
    <mergeCell ref="AF40:AG40"/>
    <mergeCell ref="AP36:AQ36"/>
    <mergeCell ref="AF37:AG37"/>
    <mergeCell ref="AP37:AQ37"/>
    <mergeCell ref="AF38:AG38"/>
    <mergeCell ref="AP38:AQ38"/>
    <mergeCell ref="AP34:AQ34"/>
    <mergeCell ref="AF35:AG35"/>
    <mergeCell ref="AP35:AQ35"/>
    <mergeCell ref="H25:J25"/>
    <mergeCell ref="K25:M25"/>
    <mergeCell ref="W27:Y27"/>
    <mergeCell ref="N30:R30"/>
    <mergeCell ref="B23:F23"/>
    <mergeCell ref="N23:R23"/>
    <mergeCell ref="Z23:AD23"/>
    <mergeCell ref="AJ23:AN23"/>
    <mergeCell ref="AG2:AH2"/>
    <mergeCell ref="AO2:AP2"/>
    <mergeCell ref="AQ2:AR2"/>
    <mergeCell ref="B6:F6"/>
    <mergeCell ref="N6:R6"/>
    <mergeCell ref="Z6:AD6"/>
    <mergeCell ref="AJ6:AN6"/>
    <mergeCell ref="G2:H2"/>
    <mergeCell ref="I2:J2"/>
    <mergeCell ref="S2:T2"/>
    <mergeCell ref="U2:V2"/>
    <mergeCell ref="AE2:AF2"/>
  </mergeCells>
  <phoneticPr fontId="33" type="noConversion"/>
  <conditionalFormatting sqref="C2:F2 O2:R2 C5:F5 O5:R5 C46:F46 O46:R46">
    <cfRule type="cellIs" dxfId="4" priority="3" operator="lessThan">
      <formula>0</formula>
    </cfRule>
  </conditionalFormatting>
  <conditionalFormatting sqref="AA2:AD2 AK2:AN2 AA5:AD5 AK5:AN5 AA46:AD46 AK46:AN46">
    <cfRule type="cellIs" dxfId="3" priority="1" operator="lessThan">
      <formula>0</formula>
    </cfRule>
  </conditionalFormatting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14"/>
  <sheetViews>
    <sheetView tabSelected="1" topLeftCell="B4" zoomScale="115" zoomScaleNormal="115" workbookViewId="0">
      <selection activeCell="X59" sqref="X59"/>
    </sheetView>
  </sheetViews>
  <sheetFormatPr defaultColWidth="8.75" defaultRowHeight="13.5"/>
  <cols>
    <col min="4" max="8" width="8.75" hidden="1" customWidth="1"/>
    <col min="14" max="14" width="7.5" customWidth="1"/>
  </cols>
  <sheetData>
    <row r="1" spans="1:24">
      <c r="A1" s="2" t="s">
        <v>180</v>
      </c>
      <c r="B1" s="2" t="s">
        <v>181</v>
      </c>
      <c r="C1" s="2"/>
      <c r="D1" s="85"/>
      <c r="E1" s="85"/>
      <c r="F1" s="85"/>
      <c r="G1" s="85"/>
      <c r="H1" s="85"/>
      <c r="I1" s="352" t="s">
        <v>79</v>
      </c>
      <c r="J1" s="353"/>
      <c r="K1" s="353"/>
      <c r="L1" s="354"/>
      <c r="M1" s="352" t="s">
        <v>80</v>
      </c>
      <c r="N1" s="353"/>
      <c r="O1" s="353"/>
      <c r="P1" s="354"/>
      <c r="Q1" s="352" t="s">
        <v>81</v>
      </c>
      <c r="R1" s="353"/>
      <c r="S1" s="353"/>
      <c r="T1" s="354"/>
      <c r="U1" s="352" t="s">
        <v>82</v>
      </c>
      <c r="V1" s="353"/>
      <c r="W1" s="353"/>
      <c r="X1" s="354"/>
    </row>
    <row r="2" spans="1:24">
      <c r="A2" s="2"/>
      <c r="B2" s="2"/>
      <c r="C2" s="2"/>
      <c r="D2" s="85"/>
      <c r="E2" s="85"/>
      <c r="F2" s="85"/>
      <c r="G2" s="85"/>
      <c r="H2" s="85"/>
      <c r="I2" s="86">
        <v>1</v>
      </c>
      <c r="J2" s="87">
        <v>2</v>
      </c>
      <c r="K2" s="87">
        <v>3</v>
      </c>
      <c r="L2" s="88">
        <v>4</v>
      </c>
      <c r="M2" s="86">
        <v>1</v>
      </c>
      <c r="N2" s="87">
        <v>2</v>
      </c>
      <c r="O2" s="87">
        <v>3</v>
      </c>
      <c r="P2" s="88">
        <v>4</v>
      </c>
      <c r="Q2" s="86">
        <v>1</v>
      </c>
      <c r="R2" s="87">
        <v>2</v>
      </c>
      <c r="S2" s="87">
        <v>3</v>
      </c>
      <c r="T2" s="88">
        <v>4</v>
      </c>
      <c r="U2" s="86">
        <v>1</v>
      </c>
      <c r="V2" s="87">
        <v>2</v>
      </c>
      <c r="W2" s="87">
        <v>3</v>
      </c>
      <c r="X2" s="88">
        <v>4</v>
      </c>
    </row>
    <row r="3" spans="1:24">
      <c r="A3" s="355" t="s">
        <v>186</v>
      </c>
      <c r="B3" s="355"/>
      <c r="C3" s="355"/>
      <c r="D3" s="2"/>
      <c r="E3" s="2"/>
      <c r="F3" s="2"/>
      <c r="G3" s="2"/>
      <c r="H3" s="2"/>
      <c r="I3" s="89" t="s">
        <v>181</v>
      </c>
      <c r="J3" s="89" t="s">
        <v>181</v>
      </c>
      <c r="K3" s="89" t="s">
        <v>181</v>
      </c>
      <c r="L3" s="89" t="s">
        <v>181</v>
      </c>
      <c r="M3" s="89" t="s">
        <v>181</v>
      </c>
      <c r="N3" s="89" t="s">
        <v>181</v>
      </c>
      <c r="O3" s="89" t="s">
        <v>181</v>
      </c>
      <c r="P3" s="89" t="s">
        <v>181</v>
      </c>
      <c r="Q3" s="89" t="s">
        <v>181</v>
      </c>
      <c r="R3" s="89" t="s">
        <v>181</v>
      </c>
      <c r="S3" s="89" t="s">
        <v>181</v>
      </c>
      <c r="T3" s="89" t="s">
        <v>181</v>
      </c>
      <c r="U3" s="89" t="s">
        <v>181</v>
      </c>
      <c r="V3" s="89" t="s">
        <v>181</v>
      </c>
      <c r="W3" s="89" t="s">
        <v>181</v>
      </c>
      <c r="X3" s="89" t="s">
        <v>181</v>
      </c>
    </row>
    <row r="4" spans="1:24">
      <c r="A4" s="356" t="s">
        <v>187</v>
      </c>
      <c r="B4" s="356" t="s">
        <v>35</v>
      </c>
      <c r="C4" s="90" t="s">
        <v>188</v>
      </c>
      <c r="D4" s="91"/>
      <c r="E4" s="91"/>
      <c r="F4" s="91"/>
      <c r="G4" s="91"/>
      <c r="H4" s="91"/>
      <c r="I4" s="92"/>
      <c r="J4" s="93"/>
      <c r="K4" s="93"/>
      <c r="L4" s="94"/>
      <c r="M4" s="92"/>
      <c r="N4" s="93"/>
      <c r="O4" s="93"/>
      <c r="P4" s="94"/>
      <c r="Q4" s="92"/>
      <c r="R4" s="93"/>
      <c r="S4" s="93"/>
      <c r="T4" s="94"/>
      <c r="U4" s="92"/>
      <c r="V4" s="93"/>
      <c r="W4" s="93"/>
      <c r="X4" s="94"/>
    </row>
    <row r="5" spans="1:24">
      <c r="A5" s="356"/>
      <c r="B5" s="356"/>
      <c r="C5" s="90" t="s">
        <v>189</v>
      </c>
      <c r="D5" s="91"/>
      <c r="E5" s="91"/>
      <c r="F5" s="91"/>
      <c r="G5" s="91"/>
      <c r="H5" s="91"/>
      <c r="I5" s="95"/>
      <c r="J5" s="91"/>
      <c r="K5" s="91"/>
      <c r="L5" s="96"/>
      <c r="M5" s="95"/>
      <c r="N5" s="91"/>
      <c r="O5" s="91"/>
      <c r="P5" s="96"/>
      <c r="Q5" s="95"/>
      <c r="R5" s="91"/>
      <c r="S5" s="91"/>
      <c r="T5" s="96"/>
      <c r="U5" s="95"/>
      <c r="V5" s="91"/>
      <c r="W5" s="91"/>
      <c r="X5" s="96"/>
    </row>
    <row r="6" spans="1:24">
      <c r="A6" s="356"/>
      <c r="B6" s="356"/>
      <c r="C6" s="90" t="s">
        <v>190</v>
      </c>
      <c r="D6" s="91"/>
      <c r="E6" s="91"/>
      <c r="F6" s="91"/>
      <c r="G6" s="91"/>
      <c r="H6" s="91"/>
      <c r="I6" s="95"/>
      <c r="J6" s="91"/>
      <c r="K6" s="91"/>
      <c r="L6" s="96"/>
      <c r="M6" s="95"/>
      <c r="N6" s="91"/>
      <c r="O6" s="91"/>
      <c r="P6" s="96"/>
      <c r="Q6" s="95"/>
      <c r="R6" s="91"/>
      <c r="S6" s="91"/>
      <c r="T6" s="96"/>
      <c r="U6" s="95"/>
      <c r="V6" s="91"/>
      <c r="W6" s="91"/>
      <c r="X6" s="96"/>
    </row>
    <row r="7" spans="1:24">
      <c r="A7" s="356"/>
      <c r="B7" s="356"/>
      <c r="C7" s="90" t="s">
        <v>191</v>
      </c>
      <c r="D7" s="91"/>
      <c r="E7" s="91"/>
      <c r="F7" s="91"/>
      <c r="G7" s="91"/>
      <c r="H7" s="91"/>
      <c r="I7" s="95">
        <v>10</v>
      </c>
      <c r="J7" s="91"/>
      <c r="K7" s="91"/>
      <c r="L7" s="96"/>
      <c r="M7" s="95"/>
      <c r="N7" s="91"/>
      <c r="O7" s="91"/>
      <c r="P7" s="96"/>
      <c r="Q7" s="95"/>
      <c r="R7" s="91"/>
      <c r="S7" s="91"/>
      <c r="T7" s="96"/>
      <c r="U7" s="95"/>
      <c r="V7" s="91"/>
      <c r="W7" s="91"/>
      <c r="X7" s="96"/>
    </row>
    <row r="8" spans="1:24">
      <c r="A8" s="356"/>
      <c r="B8" s="356"/>
      <c r="C8" s="90" t="s">
        <v>192</v>
      </c>
      <c r="D8" s="91"/>
      <c r="E8" s="91"/>
      <c r="F8" s="91"/>
      <c r="G8" s="91"/>
      <c r="H8" s="91"/>
      <c r="I8" s="97"/>
      <c r="J8" s="98"/>
      <c r="K8" s="98"/>
      <c r="L8" s="98"/>
      <c r="M8" s="97"/>
      <c r="N8" s="98"/>
      <c r="O8" s="98"/>
      <c r="P8" s="98"/>
      <c r="Q8" s="97"/>
      <c r="R8" s="98"/>
      <c r="S8" s="98"/>
      <c r="T8" s="98"/>
      <c r="U8" s="97"/>
      <c r="V8" s="98"/>
      <c r="W8" s="98"/>
      <c r="X8" s="98"/>
    </row>
    <row r="9" spans="1:24">
      <c r="A9" s="356"/>
      <c r="B9" s="356" t="s">
        <v>36</v>
      </c>
      <c r="C9" s="90" t="s">
        <v>188</v>
      </c>
      <c r="D9" s="91"/>
      <c r="E9" s="91"/>
      <c r="F9" s="91"/>
      <c r="G9" s="91"/>
      <c r="H9" s="91"/>
      <c r="I9" s="92"/>
      <c r="J9" s="93"/>
      <c r="K9" s="93"/>
      <c r="L9" s="94"/>
      <c r="M9" s="92"/>
      <c r="N9" s="93"/>
      <c r="O9" s="93"/>
      <c r="P9" s="94"/>
      <c r="Q9" s="92"/>
      <c r="R9" s="93"/>
      <c r="S9" s="93"/>
      <c r="T9" s="94"/>
      <c r="U9" s="92"/>
      <c r="V9" s="93"/>
      <c r="W9" s="93"/>
      <c r="X9" s="94"/>
    </row>
    <row r="10" spans="1:24">
      <c r="A10" s="356"/>
      <c r="B10" s="356"/>
      <c r="C10" s="90" t="s">
        <v>189</v>
      </c>
      <c r="D10" s="91"/>
      <c r="E10" s="91"/>
      <c r="F10" s="91"/>
      <c r="G10" s="91"/>
      <c r="H10" s="91"/>
      <c r="I10" s="95"/>
      <c r="J10" s="91"/>
      <c r="K10" s="91"/>
      <c r="L10" s="96"/>
      <c r="M10" s="95"/>
      <c r="N10" s="91"/>
      <c r="O10" s="91"/>
      <c r="P10" s="96"/>
      <c r="Q10" s="95"/>
      <c r="R10" s="91"/>
      <c r="S10" s="91"/>
      <c r="T10" s="96"/>
      <c r="U10" s="95"/>
      <c r="V10" s="91"/>
      <c r="W10" s="91"/>
      <c r="X10" s="96"/>
    </row>
    <row r="11" spans="1:24">
      <c r="A11" s="356"/>
      <c r="B11" s="356"/>
      <c r="C11" s="90" t="s">
        <v>190</v>
      </c>
      <c r="D11" s="91"/>
      <c r="E11" s="91"/>
      <c r="F11" s="91"/>
      <c r="G11" s="91"/>
      <c r="H11" s="91"/>
      <c r="I11" s="95"/>
      <c r="J11" s="91"/>
      <c r="K11" s="91"/>
      <c r="L11" s="96"/>
      <c r="M11" s="95"/>
      <c r="N11" s="91"/>
      <c r="O11" s="91"/>
      <c r="P11" s="96"/>
      <c r="Q11" s="95"/>
      <c r="R11" s="91"/>
      <c r="S11" s="91"/>
      <c r="T11" s="96"/>
      <c r="U11" s="95"/>
      <c r="V11" s="91"/>
      <c r="W11" s="91"/>
      <c r="X11" s="96"/>
    </row>
    <row r="12" spans="1:24">
      <c r="A12" s="356"/>
      <c r="B12" s="356"/>
      <c r="C12" s="90" t="s">
        <v>191</v>
      </c>
      <c r="D12" s="91"/>
      <c r="E12" s="91"/>
      <c r="F12" s="91"/>
      <c r="G12" s="91"/>
      <c r="H12" s="91"/>
      <c r="I12" s="95"/>
      <c r="J12" s="91"/>
      <c r="K12" s="91"/>
      <c r="L12" s="96"/>
      <c r="M12" s="95"/>
      <c r="N12" s="91"/>
      <c r="O12" s="91"/>
      <c r="P12" s="96"/>
      <c r="Q12" s="95"/>
      <c r="R12" s="91"/>
      <c r="S12" s="91"/>
      <c r="T12" s="96"/>
      <c r="U12" s="95"/>
      <c r="V12" s="91"/>
      <c r="W12" s="91"/>
      <c r="X12" s="96"/>
    </row>
    <row r="13" spans="1:24">
      <c r="A13" s="356"/>
      <c r="B13" s="356"/>
      <c r="C13" s="90" t="s">
        <v>192</v>
      </c>
      <c r="D13" s="91"/>
      <c r="E13" s="91"/>
      <c r="F13" s="91"/>
      <c r="G13" s="91"/>
      <c r="H13" s="91"/>
      <c r="I13" s="97"/>
      <c r="J13" s="98"/>
      <c r="K13" s="98"/>
      <c r="L13" s="98"/>
      <c r="M13" s="97"/>
      <c r="N13" s="98"/>
      <c r="O13" s="98"/>
      <c r="P13" s="98"/>
      <c r="Q13" s="97"/>
      <c r="R13" s="98"/>
      <c r="S13" s="98"/>
      <c r="T13" s="98"/>
      <c r="U13" s="97"/>
      <c r="V13" s="98"/>
      <c r="W13" s="98"/>
      <c r="X13" s="98"/>
    </row>
    <row r="14" spans="1:24">
      <c r="A14" s="356"/>
      <c r="B14" s="356" t="s">
        <v>37</v>
      </c>
      <c r="C14" s="90" t="s">
        <v>188</v>
      </c>
      <c r="D14" s="91"/>
      <c r="E14" s="91"/>
      <c r="F14" s="91"/>
      <c r="G14" s="91"/>
      <c r="H14" s="91"/>
      <c r="I14" s="92"/>
      <c r="J14" s="93"/>
      <c r="K14" s="93"/>
      <c r="L14" s="94"/>
      <c r="M14" s="92"/>
      <c r="N14" s="93"/>
      <c r="O14" s="93"/>
      <c r="P14" s="94"/>
      <c r="Q14" s="92"/>
      <c r="R14" s="93"/>
      <c r="S14" s="93"/>
      <c r="T14" s="94"/>
      <c r="U14" s="92"/>
      <c r="V14" s="93"/>
      <c r="W14" s="93"/>
      <c r="X14" s="94"/>
    </row>
    <row r="15" spans="1:24">
      <c r="A15" s="356"/>
      <c r="B15" s="356"/>
      <c r="C15" s="90" t="s">
        <v>189</v>
      </c>
      <c r="D15" s="91"/>
      <c r="E15" s="91"/>
      <c r="F15" s="91"/>
      <c r="G15" s="91"/>
      <c r="H15" s="91"/>
      <c r="I15" s="95"/>
      <c r="J15" s="91"/>
      <c r="K15" s="91"/>
      <c r="L15" s="96"/>
      <c r="M15" s="95"/>
      <c r="N15" s="91"/>
      <c r="O15" s="91"/>
      <c r="P15" s="96"/>
      <c r="Q15" s="95"/>
      <c r="R15" s="91"/>
      <c r="S15" s="91"/>
      <c r="T15" s="96"/>
      <c r="U15" s="95"/>
      <c r="V15" s="91"/>
      <c r="W15" s="91"/>
      <c r="X15" s="96"/>
    </row>
    <row r="16" spans="1:24">
      <c r="A16" s="356"/>
      <c r="B16" s="356"/>
      <c r="C16" s="90" t="s">
        <v>190</v>
      </c>
      <c r="D16" s="91"/>
      <c r="E16" s="91"/>
      <c r="F16" s="91"/>
      <c r="G16" s="91"/>
      <c r="H16" s="91"/>
      <c r="I16" s="95"/>
      <c r="J16" s="91"/>
      <c r="K16" s="91"/>
      <c r="L16" s="96"/>
      <c r="M16" s="95"/>
      <c r="N16" s="91"/>
      <c r="O16" s="91"/>
      <c r="P16" s="96"/>
      <c r="Q16" s="95"/>
      <c r="R16" s="91"/>
      <c r="S16" s="91"/>
      <c r="T16" s="96"/>
      <c r="U16" s="95"/>
      <c r="V16" s="91"/>
      <c r="W16" s="91"/>
      <c r="X16" s="96"/>
    </row>
    <row r="17" spans="1:24">
      <c r="A17" s="356"/>
      <c r="B17" s="356"/>
      <c r="C17" s="90" t="s">
        <v>191</v>
      </c>
      <c r="D17" s="91"/>
      <c r="E17" s="91"/>
      <c r="F17" s="91"/>
      <c r="G17" s="91"/>
      <c r="H17" s="91"/>
      <c r="I17" s="95"/>
      <c r="J17" s="91"/>
      <c r="K17" s="91"/>
      <c r="L17" s="96"/>
      <c r="M17" s="95"/>
      <c r="N17" s="91"/>
      <c r="O17" s="91"/>
      <c r="P17" s="96"/>
      <c r="Q17" s="95"/>
      <c r="R17" s="91"/>
      <c r="S17" s="91"/>
      <c r="T17" s="96"/>
      <c r="U17" s="95"/>
      <c r="V17" s="91"/>
      <c r="W17" s="91"/>
      <c r="X17" s="96"/>
    </row>
    <row r="18" spans="1:24">
      <c r="A18" s="356"/>
      <c r="B18" s="356"/>
      <c r="C18" s="90" t="s">
        <v>192</v>
      </c>
      <c r="D18" s="91"/>
      <c r="E18" s="91"/>
      <c r="F18" s="91"/>
      <c r="G18" s="91"/>
      <c r="H18" s="91"/>
      <c r="I18" s="97"/>
      <c r="J18" s="98"/>
      <c r="K18" s="98"/>
      <c r="L18" s="98"/>
      <c r="M18" s="97"/>
      <c r="N18" s="98"/>
      <c r="O18" s="98"/>
      <c r="P18" s="98"/>
      <c r="Q18" s="97"/>
      <c r="R18" s="98"/>
      <c r="S18" s="98"/>
      <c r="T18" s="98"/>
      <c r="U18" s="97"/>
      <c r="V18" s="98"/>
      <c r="W18" s="98"/>
      <c r="X18" s="98"/>
    </row>
    <row r="19" spans="1:24">
      <c r="A19" s="99"/>
      <c r="B19" s="99"/>
      <c r="C19" s="2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2"/>
      <c r="V19" s="2"/>
      <c r="W19" s="2"/>
      <c r="X19" s="2"/>
    </row>
    <row r="20" spans="1:24">
      <c r="A20" s="356" t="s">
        <v>193</v>
      </c>
      <c r="B20" s="356" t="s">
        <v>35</v>
      </c>
      <c r="C20" s="90" t="s">
        <v>188</v>
      </c>
      <c r="D20" s="91"/>
      <c r="E20" s="91"/>
      <c r="F20" s="91"/>
      <c r="G20" s="91"/>
      <c r="H20" s="91"/>
      <c r="I20" s="92"/>
      <c r="J20" s="93"/>
      <c r="K20" s="93"/>
      <c r="L20" s="94"/>
      <c r="M20" s="92"/>
      <c r="N20" s="93"/>
      <c r="O20" s="93"/>
      <c r="P20" s="94"/>
      <c r="Q20" s="92"/>
      <c r="R20" s="93"/>
      <c r="S20" s="93"/>
      <c r="T20" s="94"/>
      <c r="U20" s="92"/>
      <c r="V20" s="93"/>
      <c r="W20" s="93"/>
      <c r="X20" s="94"/>
    </row>
    <row r="21" spans="1:24">
      <c r="A21" s="356"/>
      <c r="B21" s="356"/>
      <c r="C21" s="90" t="s">
        <v>189</v>
      </c>
      <c r="D21" s="91"/>
      <c r="E21" s="91"/>
      <c r="F21" s="91"/>
      <c r="G21" s="91"/>
      <c r="H21" s="91"/>
      <c r="I21" s="95"/>
      <c r="J21" s="91"/>
      <c r="K21" s="91"/>
      <c r="L21" s="96"/>
      <c r="M21" s="95"/>
      <c r="N21" s="91"/>
      <c r="O21" s="91"/>
      <c r="P21" s="96"/>
      <c r="Q21" s="95"/>
      <c r="R21" s="91"/>
      <c r="S21" s="91"/>
      <c r="T21" s="96"/>
      <c r="U21" s="95"/>
      <c r="V21" s="91"/>
      <c r="W21" s="91"/>
      <c r="X21" s="96"/>
    </row>
    <row r="22" spans="1:24">
      <c r="A22" s="356"/>
      <c r="B22" s="356"/>
      <c r="C22" s="90" t="s">
        <v>190</v>
      </c>
      <c r="D22" s="91"/>
      <c r="E22" s="91"/>
      <c r="F22" s="91"/>
      <c r="G22" s="91"/>
      <c r="H22" s="91"/>
      <c r="I22" s="95"/>
      <c r="J22" s="91"/>
      <c r="K22" s="91"/>
      <c r="L22" s="96"/>
      <c r="M22" s="95"/>
      <c r="N22" s="91"/>
      <c r="O22" s="91"/>
      <c r="P22" s="96"/>
      <c r="Q22" s="95"/>
      <c r="R22" s="91"/>
      <c r="S22" s="91"/>
      <c r="T22" s="96"/>
      <c r="U22" s="95"/>
      <c r="V22" s="91"/>
      <c r="W22" s="91"/>
      <c r="X22" s="96"/>
    </row>
    <row r="23" spans="1:24">
      <c r="A23" s="356"/>
      <c r="B23" s="356"/>
      <c r="C23" s="90" t="s">
        <v>191</v>
      </c>
      <c r="D23" s="91"/>
      <c r="E23" s="91"/>
      <c r="F23" s="91"/>
      <c r="G23" s="91"/>
      <c r="H23" s="91"/>
      <c r="I23" s="95"/>
      <c r="J23" s="91"/>
      <c r="K23" s="91"/>
      <c r="L23" s="96"/>
      <c r="M23" s="95"/>
      <c r="N23" s="91"/>
      <c r="O23" s="91"/>
      <c r="P23" s="96"/>
      <c r="Q23" s="95"/>
      <c r="R23" s="91"/>
      <c r="S23" s="91"/>
      <c r="T23" s="96"/>
      <c r="U23" s="95"/>
      <c r="V23" s="91"/>
      <c r="W23" s="91"/>
      <c r="X23" s="96"/>
    </row>
    <row r="24" spans="1:24">
      <c r="A24" s="356"/>
      <c r="B24" s="356"/>
      <c r="C24" s="90" t="s">
        <v>192</v>
      </c>
      <c r="D24" s="91"/>
      <c r="E24" s="91"/>
      <c r="F24" s="91"/>
      <c r="G24" s="91"/>
      <c r="H24" s="91"/>
      <c r="I24" s="97"/>
      <c r="J24" s="98"/>
      <c r="K24" s="98"/>
      <c r="L24" s="98"/>
      <c r="M24" s="97"/>
      <c r="N24" s="98"/>
      <c r="O24" s="98"/>
      <c r="P24" s="98"/>
      <c r="Q24" s="97"/>
      <c r="R24" s="98"/>
      <c r="S24" s="98"/>
      <c r="T24" s="98"/>
      <c r="U24" s="97"/>
      <c r="V24" s="98"/>
      <c r="W24" s="98"/>
      <c r="X24" s="98"/>
    </row>
    <row r="25" spans="1:24">
      <c r="A25" s="356"/>
      <c r="B25" s="356" t="s">
        <v>36</v>
      </c>
      <c r="C25" s="90" t="s">
        <v>188</v>
      </c>
      <c r="D25" s="91"/>
      <c r="E25" s="91"/>
      <c r="F25" s="91"/>
      <c r="G25" s="91"/>
      <c r="H25" s="91"/>
      <c r="I25" s="92"/>
      <c r="J25" s="93"/>
      <c r="K25" s="93"/>
      <c r="L25" s="94"/>
      <c r="M25" s="92"/>
      <c r="N25" s="93"/>
      <c r="O25" s="93"/>
      <c r="P25" s="94"/>
      <c r="Q25" s="92"/>
      <c r="R25" s="93"/>
      <c r="S25" s="93"/>
      <c r="T25" s="94"/>
      <c r="U25" s="92"/>
      <c r="V25" s="93"/>
      <c r="W25" s="93"/>
      <c r="X25" s="94"/>
    </row>
    <row r="26" spans="1:24">
      <c r="A26" s="356"/>
      <c r="B26" s="356"/>
      <c r="C26" s="90" t="s">
        <v>189</v>
      </c>
      <c r="D26" s="91"/>
      <c r="E26" s="91"/>
      <c r="F26" s="91"/>
      <c r="G26" s="91"/>
      <c r="H26" s="91"/>
      <c r="I26" s="95"/>
      <c r="J26" s="91"/>
      <c r="K26" s="91"/>
      <c r="L26" s="96"/>
      <c r="M26" s="95"/>
      <c r="N26" s="91"/>
      <c r="O26" s="91"/>
      <c r="P26" s="96"/>
      <c r="Q26" s="95"/>
      <c r="R26" s="91"/>
      <c r="S26" s="91"/>
      <c r="T26" s="96"/>
      <c r="U26" s="95"/>
      <c r="V26" s="91"/>
      <c r="W26" s="91"/>
      <c r="X26" s="96"/>
    </row>
    <row r="27" spans="1:24">
      <c r="A27" s="356"/>
      <c r="B27" s="356"/>
      <c r="C27" s="90" t="s">
        <v>190</v>
      </c>
      <c r="D27" s="91"/>
      <c r="E27" s="91"/>
      <c r="F27" s="91"/>
      <c r="G27" s="91"/>
      <c r="H27" s="91"/>
      <c r="I27" s="95"/>
      <c r="J27" s="91"/>
      <c r="K27" s="91"/>
      <c r="L27" s="96"/>
      <c r="M27" s="95"/>
      <c r="N27" s="91"/>
      <c r="O27" s="91"/>
      <c r="P27" s="96"/>
      <c r="Q27" s="95"/>
      <c r="R27" s="91"/>
      <c r="S27" s="91"/>
      <c r="T27" s="96"/>
      <c r="U27" s="95"/>
      <c r="V27" s="91"/>
      <c r="W27" s="91"/>
      <c r="X27" s="96"/>
    </row>
    <row r="28" spans="1:24">
      <c r="A28" s="356"/>
      <c r="B28" s="356"/>
      <c r="C28" s="90" t="s">
        <v>191</v>
      </c>
      <c r="D28" s="91"/>
      <c r="E28" s="91"/>
      <c r="F28" s="91"/>
      <c r="G28" s="91"/>
      <c r="H28" s="91"/>
      <c r="I28" s="95"/>
      <c r="J28" s="91"/>
      <c r="K28" s="91"/>
      <c r="L28" s="96"/>
      <c r="M28" s="95"/>
      <c r="N28" s="91"/>
      <c r="O28" s="91"/>
      <c r="P28" s="96"/>
      <c r="Q28" s="95"/>
      <c r="R28" s="91"/>
      <c r="S28" s="91"/>
      <c r="T28" s="96"/>
      <c r="U28" s="95"/>
      <c r="V28" s="91"/>
      <c r="W28" s="91"/>
      <c r="X28" s="96"/>
    </row>
    <row r="29" spans="1:24">
      <c r="A29" s="356"/>
      <c r="B29" s="356"/>
      <c r="C29" s="90" t="s">
        <v>192</v>
      </c>
      <c r="D29" s="91"/>
      <c r="E29" s="91"/>
      <c r="F29" s="91"/>
      <c r="G29" s="91"/>
      <c r="H29" s="91"/>
      <c r="I29" s="97"/>
      <c r="J29" s="98"/>
      <c r="K29" s="98"/>
      <c r="L29" s="98"/>
      <c r="M29" s="97"/>
      <c r="N29" s="98"/>
      <c r="O29" s="98"/>
      <c r="P29" s="98"/>
      <c r="Q29" s="97"/>
      <c r="R29" s="98"/>
      <c r="S29" s="98"/>
      <c r="T29" s="98"/>
      <c r="U29" s="97"/>
      <c r="V29" s="98"/>
      <c r="W29" s="98"/>
      <c r="X29" s="98"/>
    </row>
    <row r="30" spans="1:24">
      <c r="A30" s="356"/>
      <c r="B30" s="356" t="s">
        <v>37</v>
      </c>
      <c r="C30" s="90" t="s">
        <v>188</v>
      </c>
      <c r="D30" s="91"/>
      <c r="E30" s="91"/>
      <c r="F30" s="91"/>
      <c r="G30" s="91"/>
      <c r="H30" s="91"/>
      <c r="I30" s="92"/>
      <c r="J30" s="93"/>
      <c r="K30" s="93"/>
      <c r="L30" s="94"/>
      <c r="M30" s="92"/>
      <c r="N30" s="93"/>
      <c r="O30" s="93"/>
      <c r="P30" s="94"/>
      <c r="Q30" s="92"/>
      <c r="R30" s="93"/>
      <c r="S30" s="93"/>
      <c r="T30" s="94"/>
      <c r="U30" s="92"/>
      <c r="V30" s="93"/>
      <c r="W30" s="93"/>
      <c r="X30" s="94"/>
    </row>
    <row r="31" spans="1:24">
      <c r="A31" s="356"/>
      <c r="B31" s="356"/>
      <c r="C31" s="90" t="s">
        <v>189</v>
      </c>
      <c r="D31" s="91"/>
      <c r="E31" s="91"/>
      <c r="F31" s="91"/>
      <c r="G31" s="91"/>
      <c r="H31" s="91"/>
      <c r="I31" s="95"/>
      <c r="J31" s="91"/>
      <c r="K31" s="91"/>
      <c r="L31" s="96"/>
      <c r="M31" s="95"/>
      <c r="N31" s="91"/>
      <c r="O31" s="91"/>
      <c r="P31" s="96"/>
      <c r="Q31" s="95"/>
      <c r="R31" s="91"/>
      <c r="S31" s="91"/>
      <c r="T31" s="96"/>
      <c r="U31" s="95"/>
      <c r="V31" s="91"/>
      <c r="W31" s="91"/>
      <c r="X31" s="96"/>
    </row>
    <row r="32" spans="1:24">
      <c r="A32" s="356"/>
      <c r="B32" s="356"/>
      <c r="C32" s="90" t="s">
        <v>190</v>
      </c>
      <c r="D32" s="91"/>
      <c r="E32" s="91"/>
      <c r="F32" s="91"/>
      <c r="G32" s="91"/>
      <c r="H32" s="91"/>
      <c r="I32" s="95"/>
      <c r="J32" s="91"/>
      <c r="K32" s="91"/>
      <c r="L32" s="96"/>
      <c r="M32" s="95"/>
      <c r="N32" s="91"/>
      <c r="O32" s="91"/>
      <c r="P32" s="96"/>
      <c r="Q32" s="95"/>
      <c r="R32" s="91"/>
      <c r="S32" s="91"/>
      <c r="T32" s="96"/>
      <c r="U32" s="95"/>
      <c r="V32" s="91"/>
      <c r="W32" s="91"/>
      <c r="X32" s="96"/>
    </row>
    <row r="33" spans="1:24">
      <c r="A33" s="356"/>
      <c r="B33" s="356"/>
      <c r="C33" s="90" t="s">
        <v>191</v>
      </c>
      <c r="D33" s="91"/>
      <c r="E33" s="91"/>
      <c r="F33" s="91"/>
      <c r="G33" s="91"/>
      <c r="H33" s="91"/>
      <c r="I33" s="95"/>
      <c r="J33" s="91"/>
      <c r="K33" s="91"/>
      <c r="L33" s="96"/>
      <c r="M33" s="95"/>
      <c r="N33" s="91"/>
      <c r="O33" s="91"/>
      <c r="P33" s="96"/>
      <c r="Q33" s="95"/>
      <c r="R33" s="91"/>
      <c r="S33" s="91"/>
      <c r="T33" s="96"/>
      <c r="U33" s="95"/>
      <c r="V33" s="91"/>
      <c r="W33" s="91"/>
      <c r="X33" s="96"/>
    </row>
    <row r="34" spans="1:24">
      <c r="A34" s="356"/>
      <c r="B34" s="356"/>
      <c r="C34" s="90" t="s">
        <v>192</v>
      </c>
      <c r="D34" s="91"/>
      <c r="E34" s="91"/>
      <c r="F34" s="91"/>
      <c r="G34" s="91"/>
      <c r="H34" s="91"/>
      <c r="I34" s="97"/>
      <c r="J34" s="98"/>
      <c r="K34" s="98"/>
      <c r="L34" s="98"/>
      <c r="M34" s="97"/>
      <c r="N34" s="98"/>
      <c r="O34" s="98"/>
      <c r="P34" s="98"/>
      <c r="Q34" s="97"/>
      <c r="R34" s="98"/>
      <c r="S34" s="98"/>
      <c r="T34" s="98"/>
      <c r="U34" s="97"/>
      <c r="V34" s="98"/>
      <c r="W34" s="98"/>
      <c r="X34" s="98"/>
    </row>
    <row r="35" spans="1:2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>
      <c r="A36" s="356" t="s">
        <v>194</v>
      </c>
      <c r="B36" s="356" t="s">
        <v>35</v>
      </c>
      <c r="C36" s="90" t="s">
        <v>188</v>
      </c>
      <c r="D36" s="91"/>
      <c r="E36" s="91"/>
      <c r="F36" s="91"/>
      <c r="G36" s="91"/>
      <c r="H36" s="91"/>
      <c r="I36" s="92"/>
      <c r="J36" s="93"/>
      <c r="K36" s="93"/>
      <c r="L36" s="94"/>
      <c r="M36" s="92"/>
      <c r="N36" s="93"/>
      <c r="O36" s="93"/>
      <c r="P36" s="94"/>
      <c r="Q36" s="92"/>
      <c r="R36" s="93"/>
      <c r="S36" s="93"/>
      <c r="T36" s="94"/>
      <c r="U36" s="92"/>
      <c r="V36" s="93"/>
      <c r="W36" s="93"/>
      <c r="X36" s="94"/>
    </row>
    <row r="37" spans="1:24">
      <c r="A37" s="356"/>
      <c r="B37" s="356"/>
      <c r="C37" s="90" t="s">
        <v>189</v>
      </c>
      <c r="D37" s="91"/>
      <c r="E37" s="91"/>
      <c r="F37" s="91"/>
      <c r="G37" s="91"/>
      <c r="H37" s="91"/>
      <c r="I37" s="95"/>
      <c r="J37" s="91"/>
      <c r="K37" s="91"/>
      <c r="L37" s="96"/>
      <c r="M37" s="95"/>
      <c r="N37" s="91"/>
      <c r="O37" s="91"/>
      <c r="P37" s="96"/>
      <c r="Q37" s="95"/>
      <c r="R37" s="91"/>
      <c r="S37" s="91"/>
      <c r="T37" s="96"/>
      <c r="U37" s="95"/>
      <c r="V37" s="91"/>
      <c r="W37" s="91"/>
      <c r="X37" s="96"/>
    </row>
    <row r="38" spans="1:24">
      <c r="A38" s="356"/>
      <c r="B38" s="356"/>
      <c r="C38" s="90" t="s">
        <v>190</v>
      </c>
      <c r="D38" s="91"/>
      <c r="E38" s="91"/>
      <c r="F38" s="91"/>
      <c r="G38" s="91"/>
      <c r="H38" s="91"/>
      <c r="I38" s="95"/>
      <c r="J38" s="91"/>
      <c r="K38" s="91"/>
      <c r="L38" s="96"/>
      <c r="M38" s="95"/>
      <c r="N38" s="91"/>
      <c r="O38" s="91"/>
      <c r="P38" s="96"/>
      <c r="Q38" s="95"/>
      <c r="R38" s="91"/>
      <c r="S38" s="91"/>
      <c r="T38" s="96"/>
      <c r="U38" s="95"/>
      <c r="V38" s="91"/>
      <c r="W38" s="91"/>
      <c r="X38" s="96"/>
    </row>
    <row r="39" spans="1:24">
      <c r="A39" s="356"/>
      <c r="B39" s="356"/>
      <c r="C39" s="90" t="s">
        <v>191</v>
      </c>
      <c r="D39" s="91"/>
      <c r="E39" s="91"/>
      <c r="F39" s="91"/>
      <c r="G39" s="91"/>
      <c r="H39" s="91"/>
      <c r="I39" s="95"/>
      <c r="J39" s="91"/>
      <c r="K39" s="91"/>
      <c r="L39" s="96"/>
      <c r="M39" s="95"/>
      <c r="N39" s="91"/>
      <c r="O39" s="91"/>
      <c r="P39" s="96"/>
      <c r="Q39" s="95"/>
      <c r="R39" s="91"/>
      <c r="S39" s="91"/>
      <c r="T39" s="96"/>
      <c r="U39" s="95"/>
      <c r="V39" s="91"/>
      <c r="W39" s="91"/>
      <c r="X39" s="96"/>
    </row>
    <row r="40" spans="1:24">
      <c r="A40" s="356"/>
      <c r="B40" s="356"/>
      <c r="C40" s="90" t="s">
        <v>192</v>
      </c>
      <c r="D40" s="91"/>
      <c r="E40" s="91"/>
      <c r="F40" s="91"/>
      <c r="G40" s="91"/>
      <c r="H40" s="91"/>
      <c r="I40" s="97"/>
      <c r="J40" s="98"/>
      <c r="K40" s="98"/>
      <c r="L40" s="98"/>
      <c r="M40" s="97"/>
      <c r="N40" s="98"/>
      <c r="O40" s="98"/>
      <c r="P40" s="98"/>
      <c r="Q40" s="97"/>
      <c r="R40" s="98"/>
      <c r="S40" s="98"/>
      <c r="T40" s="98"/>
      <c r="U40" s="97"/>
      <c r="V40" s="98"/>
      <c r="W40" s="98"/>
      <c r="X40" s="98"/>
    </row>
    <row r="41" spans="1:24">
      <c r="A41" s="356"/>
      <c r="B41" s="356" t="s">
        <v>36</v>
      </c>
      <c r="C41" s="90" t="s">
        <v>188</v>
      </c>
      <c r="D41" s="91"/>
      <c r="E41" s="91"/>
      <c r="F41" s="91"/>
      <c r="G41" s="91"/>
      <c r="H41" s="91"/>
      <c r="I41" s="92"/>
      <c r="J41" s="93"/>
      <c r="K41" s="93"/>
      <c r="L41" s="94"/>
      <c r="M41" s="92"/>
      <c r="N41" s="93"/>
      <c r="O41" s="93"/>
      <c r="P41" s="94"/>
      <c r="Q41" s="92"/>
      <c r="R41" s="93"/>
      <c r="S41" s="93"/>
      <c r="T41" s="94"/>
      <c r="U41" s="92"/>
      <c r="V41" s="93"/>
      <c r="W41" s="93"/>
      <c r="X41" s="94"/>
    </row>
    <row r="42" spans="1:24">
      <c r="A42" s="356"/>
      <c r="B42" s="356"/>
      <c r="C42" s="90" t="s">
        <v>189</v>
      </c>
      <c r="D42" s="91"/>
      <c r="E42" s="91"/>
      <c r="F42" s="91"/>
      <c r="G42" s="91"/>
      <c r="H42" s="91"/>
      <c r="I42" s="95"/>
      <c r="J42" s="91"/>
      <c r="K42" s="91"/>
      <c r="L42" s="96"/>
      <c r="M42" s="95"/>
      <c r="N42" s="91"/>
      <c r="O42" s="91"/>
      <c r="P42" s="96"/>
      <c r="Q42" s="95"/>
      <c r="R42" s="91"/>
      <c r="S42" s="91"/>
      <c r="T42" s="96"/>
      <c r="U42" s="95"/>
      <c r="V42" s="91"/>
      <c r="W42" s="91"/>
      <c r="X42" s="96"/>
    </row>
    <row r="43" spans="1:24">
      <c r="A43" s="356"/>
      <c r="B43" s="356"/>
      <c r="C43" s="90" t="s">
        <v>190</v>
      </c>
      <c r="D43" s="91"/>
      <c r="E43" s="91"/>
      <c r="F43" s="91"/>
      <c r="G43" s="91"/>
      <c r="H43" s="91"/>
      <c r="I43" s="95"/>
      <c r="J43" s="91"/>
      <c r="K43" s="91"/>
      <c r="L43" s="96"/>
      <c r="M43" s="95"/>
      <c r="N43" s="91"/>
      <c r="O43" s="91"/>
      <c r="P43" s="96"/>
      <c r="Q43" s="95"/>
      <c r="R43" s="91"/>
      <c r="S43" s="91"/>
      <c r="T43" s="96"/>
      <c r="U43" s="95"/>
      <c r="V43" s="91"/>
      <c r="W43" s="91"/>
      <c r="X43" s="96"/>
    </row>
    <row r="44" spans="1:24">
      <c r="A44" s="356"/>
      <c r="B44" s="356"/>
      <c r="C44" s="90" t="s">
        <v>191</v>
      </c>
      <c r="D44" s="91"/>
      <c r="E44" s="91"/>
      <c r="F44" s="91"/>
      <c r="G44" s="91"/>
      <c r="H44" s="91"/>
      <c r="I44" s="95"/>
      <c r="J44" s="91"/>
      <c r="K44" s="91"/>
      <c r="L44" s="96"/>
      <c r="M44" s="95"/>
      <c r="N44" s="91"/>
      <c r="O44" s="91"/>
      <c r="P44" s="96"/>
      <c r="Q44" s="95"/>
      <c r="R44" s="91"/>
      <c r="S44" s="91"/>
      <c r="T44" s="96"/>
      <c r="U44" s="95"/>
      <c r="V44" s="91"/>
      <c r="W44" s="91"/>
      <c r="X44" s="96"/>
    </row>
    <row r="45" spans="1:24">
      <c r="A45" s="356"/>
      <c r="B45" s="356"/>
      <c r="C45" s="90" t="s">
        <v>192</v>
      </c>
      <c r="D45" s="91"/>
      <c r="E45" s="91"/>
      <c r="F45" s="91"/>
      <c r="G45" s="91"/>
      <c r="H45" s="91"/>
      <c r="I45" s="97"/>
      <c r="J45" s="98"/>
      <c r="K45" s="98"/>
      <c r="L45" s="98"/>
      <c r="M45" s="97"/>
      <c r="N45" s="98"/>
      <c r="O45" s="98"/>
      <c r="P45" s="98"/>
      <c r="Q45" s="97"/>
      <c r="R45" s="98"/>
      <c r="S45" s="98"/>
      <c r="T45" s="98"/>
      <c r="U45" s="97"/>
      <c r="V45" s="98"/>
      <c r="W45" s="98"/>
      <c r="X45" s="98"/>
    </row>
    <row r="46" spans="1:24">
      <c r="A46" s="356"/>
      <c r="B46" s="356" t="s">
        <v>37</v>
      </c>
      <c r="C46" s="90" t="s">
        <v>188</v>
      </c>
      <c r="D46" s="91"/>
      <c r="E46" s="91"/>
      <c r="F46" s="91"/>
      <c r="G46" s="91"/>
      <c r="H46" s="91"/>
      <c r="I46" s="92"/>
      <c r="J46" s="93"/>
      <c r="K46" s="93"/>
      <c r="L46" s="94"/>
      <c r="M46" s="92"/>
      <c r="N46" s="93"/>
      <c r="O46" s="93"/>
      <c r="P46" s="94"/>
      <c r="Q46" s="92"/>
      <c r="R46" s="93"/>
      <c r="S46" s="93"/>
      <c r="T46" s="94"/>
      <c r="U46" s="92"/>
      <c r="V46" s="93"/>
      <c r="W46" s="93"/>
      <c r="X46" s="94"/>
    </row>
    <row r="47" spans="1:24">
      <c r="A47" s="356"/>
      <c r="B47" s="356"/>
      <c r="C47" s="90" t="s">
        <v>189</v>
      </c>
      <c r="D47" s="91"/>
      <c r="E47" s="91"/>
      <c r="F47" s="91"/>
      <c r="G47" s="91"/>
      <c r="H47" s="91"/>
      <c r="I47" s="95"/>
      <c r="J47" s="91"/>
      <c r="K47" s="91"/>
      <c r="L47" s="96"/>
      <c r="M47" s="95"/>
      <c r="N47" s="91"/>
      <c r="O47" s="91"/>
      <c r="P47" s="96"/>
      <c r="Q47" s="95"/>
      <c r="R47" s="91"/>
      <c r="S47" s="91"/>
      <c r="T47" s="96"/>
      <c r="U47" s="95"/>
      <c r="V47" s="91"/>
      <c r="W47" s="91"/>
      <c r="X47" s="96"/>
    </row>
    <row r="48" spans="1:24">
      <c r="A48" s="356"/>
      <c r="B48" s="356"/>
      <c r="C48" s="90" t="s">
        <v>190</v>
      </c>
      <c r="D48" s="91"/>
      <c r="E48" s="91"/>
      <c r="F48" s="91"/>
      <c r="G48" s="91"/>
      <c r="H48" s="91"/>
      <c r="I48" s="95"/>
      <c r="J48" s="91"/>
      <c r="K48" s="91"/>
      <c r="L48" s="96"/>
      <c r="M48" s="95"/>
      <c r="N48" s="91"/>
      <c r="O48" s="91"/>
      <c r="P48" s="96"/>
      <c r="Q48" s="95"/>
      <c r="R48" s="91"/>
      <c r="S48" s="91"/>
      <c r="T48" s="96"/>
      <c r="U48" s="95"/>
      <c r="V48" s="91"/>
      <c r="W48" s="91"/>
      <c r="X48" s="96"/>
    </row>
    <row r="49" spans="1:27">
      <c r="A49" s="356"/>
      <c r="B49" s="356"/>
      <c r="C49" s="90" t="s">
        <v>191</v>
      </c>
      <c r="D49" s="91"/>
      <c r="E49" s="91"/>
      <c r="F49" s="91"/>
      <c r="G49" s="91"/>
      <c r="H49" s="91"/>
      <c r="I49" s="95"/>
      <c r="J49" s="91"/>
      <c r="K49" s="91"/>
      <c r="L49" s="96"/>
      <c r="M49" s="95"/>
      <c r="N49" s="91"/>
      <c r="O49" s="91"/>
      <c r="P49" s="96"/>
      <c r="Q49" s="95"/>
      <c r="R49" s="91"/>
      <c r="S49" s="91"/>
      <c r="T49" s="96"/>
      <c r="U49" s="95"/>
      <c r="V49" s="91"/>
      <c r="W49" s="91"/>
      <c r="X49" s="96"/>
    </row>
    <row r="50" spans="1:27">
      <c r="A50" s="356"/>
      <c r="B50" s="356"/>
      <c r="C50" s="90" t="s">
        <v>192</v>
      </c>
      <c r="D50" s="91"/>
      <c r="E50" s="91"/>
      <c r="F50" s="91"/>
      <c r="G50" s="91"/>
      <c r="H50" s="91"/>
      <c r="I50" s="97"/>
      <c r="J50" s="98"/>
      <c r="K50" s="98"/>
      <c r="L50" s="98"/>
      <c r="M50" s="97"/>
      <c r="N50" s="98"/>
      <c r="O50" s="98"/>
      <c r="P50" s="98"/>
      <c r="Q50" s="97"/>
      <c r="R50" s="98"/>
      <c r="S50" s="98"/>
      <c r="T50" s="98"/>
      <c r="U50" s="97"/>
      <c r="V50" s="98"/>
      <c r="W50" s="98"/>
      <c r="X50" s="98"/>
    </row>
    <row r="51" spans="1:27">
      <c r="A51" s="2"/>
      <c r="B51" s="2"/>
      <c r="C51" s="90" t="s">
        <v>195</v>
      </c>
      <c r="D51" s="100"/>
      <c r="E51" s="100"/>
      <c r="F51" s="100"/>
      <c r="G51" s="100"/>
      <c r="H51" s="100"/>
      <c r="I51" s="101" cm="1">
        <f t="array" ref="I51">SUMPRODUCT(I60:I62,规则表!$B$17:$B$19)</f>
        <v>1000000</v>
      </c>
      <c r="J51" s="101" cm="1">
        <f t="array" ref="J51">SUMPRODUCT(J60:J62,规则表!$B$17:$B$19)</f>
        <v>0</v>
      </c>
      <c r="K51" s="101" cm="1">
        <f t="array" ref="K51">SUMPRODUCT(K60:K62,规则表!$B$17:$B$19)</f>
        <v>0</v>
      </c>
      <c r="L51" s="101" cm="1">
        <f t="array" ref="L51">SUMPRODUCT(L60:L62,规则表!$B$17:$B$19)</f>
        <v>0</v>
      </c>
      <c r="M51" s="101" cm="1">
        <f t="array" ref="M51">SUMPRODUCT(M60:M62,规则表!$B$17:$B$19)</f>
        <v>0</v>
      </c>
      <c r="N51" s="101" cm="1">
        <f t="array" ref="N51">SUMPRODUCT(N60:N62,规则表!$B$17:$B$19)</f>
        <v>0</v>
      </c>
      <c r="O51" s="101" cm="1">
        <f t="array" ref="O51">SUMPRODUCT(O60:O62,规则表!$B$17:$B$19)</f>
        <v>0</v>
      </c>
      <c r="P51" s="101" cm="1">
        <f t="array" ref="P51">SUMPRODUCT(P60:P62,规则表!$B$17:$B$19)</f>
        <v>0</v>
      </c>
      <c r="Q51" s="101" cm="1">
        <f t="array" ref="Q51">SUMPRODUCT(Q60:Q62,规则表!$B$17:$B$19)</f>
        <v>0</v>
      </c>
      <c r="R51" s="101" cm="1">
        <f t="array" ref="R51">SUMPRODUCT(R60:R62,规则表!$B$17:$B$19)</f>
        <v>0</v>
      </c>
      <c r="S51" s="101" cm="1">
        <f t="array" ref="S51">SUMPRODUCT(S60:S62,规则表!$B$17:$B$19)</f>
        <v>0</v>
      </c>
      <c r="T51" s="101" cm="1">
        <f t="array" ref="T51">SUMPRODUCT(T60:T62,规则表!$B$17:$B$19)</f>
        <v>0</v>
      </c>
      <c r="U51" s="101" cm="1">
        <f t="array" ref="U51">SUMPRODUCT(U60:U62,规则表!$B$17:$B$19)</f>
        <v>0</v>
      </c>
      <c r="V51" s="101" cm="1">
        <f t="array" ref="V51">SUMPRODUCT(V60:V62,规则表!$B$17:$B$19)</f>
        <v>0</v>
      </c>
      <c r="W51" s="101" cm="1">
        <f t="array" ref="W51">SUMPRODUCT(W60:W62,规则表!$B$17:$B$19)</f>
        <v>0</v>
      </c>
      <c r="X51" s="101" cm="1">
        <f t="array" ref="X51">SUMPRODUCT(X60:X62,规则表!$B$17:$B$19)</f>
        <v>0</v>
      </c>
    </row>
    <row r="52" spans="1:27">
      <c r="A52" s="2"/>
      <c r="B52" s="2"/>
      <c r="C52" s="90" t="s">
        <v>196</v>
      </c>
      <c r="D52" s="100"/>
      <c r="E52" s="100"/>
      <c r="F52" s="100"/>
      <c r="G52" s="100"/>
      <c r="H52" s="100"/>
      <c r="I52" s="102"/>
      <c r="J52" s="102"/>
      <c r="K52" s="102"/>
      <c r="L52" s="102"/>
      <c r="M52" s="103" cm="1">
        <f t="array" aca="1" ref="M52" ca="1">SUMPRODUCT(INDEX($H$60:$X$60,MAX(COLUMN()-10-规则表!$C$17,1))*规则表!$I$17)-SUM(OFFSET(M64,0,-3,1,4))*规则表!$I$17-SUM(OFFSET(M65,0,-3,1,4))*规则表!$I$18-SUM(OFFSET(M66,0,-3,1,4))*规则表!$I$19+SUMPRODUCT(INDEX($H$61:$X$61,MAX(COLUMN()-10-规则表!$C$18,1))*规则表!$I$18)+SUMPRODUCT(INDEX($H$62:$X$62,MAX(COLUMN()-10-规则表!$C$19,1))*规则表!$I$19)</f>
        <v>0</v>
      </c>
      <c r="N52" s="103" cm="1">
        <f t="array" aca="1" ref="N52" ca="1">SUMPRODUCT(INDEX($H$60:$X$60,MAX(COLUMN()-10-规则表!$C$17,1))*规则表!$I$17)-SUM(OFFSET(N64,0,-3,1,4))*规则表!$I$17-SUM(OFFSET(N65,0,-3,1,4))*规则表!$I$18-SUM(OFFSET(N66,0,-3,1,4))*规则表!$I$19+SUMPRODUCT(INDEX($H$61:$X$61,MAX(COLUMN()-10-规则表!$C$18,1))*规则表!$I$18)+SUMPRODUCT(INDEX($H$62:$X$62,MAX(COLUMN()-10-规则表!$C$19,1))*规则表!$I$19)</f>
        <v>0</v>
      </c>
      <c r="O52" s="103" cm="1">
        <f t="array" aca="1" ref="O52" ca="1">SUMPRODUCT(INDEX($H$60:$X$60,MAX(COLUMN()-10-规则表!$C$17,1))*规则表!$I$17)-SUM(OFFSET(O64,0,-3,1,4))*规则表!$I$17-SUM(OFFSET(O65,0,-3,1,4))*规则表!$I$18-SUM(OFFSET(O66,0,-3,1,4))*规则表!$I$19+SUMPRODUCT(INDEX($H$61:$X$61,MAX(COLUMN()-10-规则表!$C$18,1))*规则表!$I$18)+SUMPRODUCT(INDEX($H$62:$X$62,MAX(COLUMN()-10-规则表!$C$19,1))*规则表!$I$19)</f>
        <v>0</v>
      </c>
      <c r="P52" s="103" cm="1">
        <f t="array" aca="1" ref="P52" ca="1">SUMPRODUCT(INDEX($H$60:$X$60,MAX(COLUMN()-10-规则表!$C$17,1))*规则表!$I$17)-SUM(OFFSET(P64,0,-3,1,4))*规则表!$I$17-SUM(OFFSET(P65,0,-3,1,4))*规则表!$I$18-SUM(OFFSET(P66,0,-3,1,4))*规则表!$I$19+SUMPRODUCT(INDEX($H$61:$X$61,MAX(COLUMN()-10-规则表!$C$18,1))*规则表!$I$18)+SUMPRODUCT(INDEX($H$62:$X$62,MAX(COLUMN()-10-规则表!$C$19,1))*规则表!$I$19)</f>
        <v>0</v>
      </c>
      <c r="Q52" s="103"/>
      <c r="R52" s="103"/>
      <c r="S52" s="103"/>
      <c r="T52" s="103"/>
      <c r="U52" s="103"/>
      <c r="V52" s="103"/>
      <c r="W52" s="103"/>
      <c r="X52" s="103"/>
      <c r="Y52" s="343" t="s">
        <v>197</v>
      </c>
      <c r="Z52" s="343"/>
      <c r="AA52" s="343"/>
    </row>
    <row r="53" spans="1:27">
      <c r="A53" s="2"/>
      <c r="B53" s="2"/>
      <c r="C53" s="90" t="s">
        <v>198</v>
      </c>
      <c r="D53" s="104"/>
      <c r="E53" s="104"/>
      <c r="F53" s="104"/>
      <c r="G53" s="104"/>
      <c r="H53" s="104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343"/>
      <c r="Z53" s="343"/>
      <c r="AA53" s="343"/>
    </row>
    <row r="54" spans="1:27">
      <c r="C54" s="90" t="s">
        <v>199</v>
      </c>
      <c r="D54" s="105"/>
      <c r="E54" s="105"/>
      <c r="F54" s="105"/>
      <c r="G54" s="105"/>
      <c r="H54" s="105"/>
      <c r="I54" s="106"/>
      <c r="J54" s="106" cm="1">
        <f t="array" aca="1" ref="J54" ca="1">SUMPRODUCT(INDEX($I$89:$X$91,0,COLUMN()-9),规则表!$R$17:$R$19)</f>
        <v>90000</v>
      </c>
      <c r="K54" s="106" cm="1">
        <f t="array" aca="1" ref="K54" ca="1">SUMPRODUCT(INDEX($I$89:$X$91,0,COLUMN()-9),规则表!$R$17:$R$19)</f>
        <v>90000</v>
      </c>
      <c r="L54" s="106" cm="1">
        <f t="array" aca="1" ref="L54" ca="1">SUMPRODUCT(INDEX($I$89:$X$91,0,COLUMN()-9),规则表!$R$17:$R$19)</f>
        <v>90000</v>
      </c>
      <c r="M54" s="106" cm="1">
        <f t="array" aca="1" ref="M54" ca="1">SUMPRODUCT(INDEX($I$89:$X$91,0,COLUMN()-9),规则表!$R$17:$R$19)</f>
        <v>90000</v>
      </c>
      <c r="N54" s="106" cm="1">
        <f t="array" aca="1" ref="N54" ca="1">SUMPRODUCT(INDEX($I$89:$X$91,0,COLUMN()-9),规则表!$R$17:$R$19)</f>
        <v>90000</v>
      </c>
      <c r="O54" s="106" cm="1">
        <f t="array" aca="1" ref="O54" ca="1">SUMPRODUCT(INDEX($I$89:$X$91,0,COLUMN()-9),规则表!$R$17:$R$19)</f>
        <v>90000</v>
      </c>
      <c r="P54" s="106" cm="1">
        <f t="array" aca="1" ref="P54" ca="1">SUMPRODUCT(INDEX($I$89:$X$91,0,COLUMN()-9),规则表!$R$17:$R$19)</f>
        <v>90000</v>
      </c>
      <c r="Q54" s="106" cm="1">
        <f t="array" aca="1" ref="Q54" ca="1">SUMPRODUCT(INDEX($I$89:$X$91,0,COLUMN()-9),规则表!$R$17:$R$19)</f>
        <v>90000</v>
      </c>
      <c r="R54" s="106" cm="1">
        <f t="array" aca="1" ref="R54" ca="1">SUMPRODUCT(INDEX($I$89:$X$91,0,COLUMN()-9),规则表!$R$17:$R$19)</f>
        <v>90000</v>
      </c>
      <c r="S54" s="106" cm="1">
        <f t="array" aca="1" ref="S54" ca="1">SUMPRODUCT(INDEX($I$89:$X$91,0,COLUMN()-9),规则表!$R$17:$R$19)</f>
        <v>90000</v>
      </c>
      <c r="T54" s="106" cm="1">
        <f t="array" aca="1" ref="T54" ca="1">SUMPRODUCT(INDEX($I$89:$X$91,0,COLUMN()-9),规则表!$R$17:$R$19)</f>
        <v>90000</v>
      </c>
      <c r="U54" s="106" cm="1">
        <f t="array" aca="1" ref="U54" ca="1">SUMPRODUCT(INDEX($I$89:$X$91,0,COLUMN()-9),规则表!$R$17:$R$19)</f>
        <v>90000</v>
      </c>
      <c r="V54" s="106" cm="1">
        <f t="array" aca="1" ref="V54" ca="1">SUMPRODUCT(INDEX($I$89:$X$91,0,COLUMN()-9),规则表!$R$17:$R$19)</f>
        <v>90000</v>
      </c>
      <c r="W54" s="106" cm="1">
        <f t="array" aca="1" ref="W54" ca="1">SUMPRODUCT(INDEX($I$89:$X$91,0,COLUMN()-9),规则表!$R$17:$R$19)</f>
        <v>90000</v>
      </c>
      <c r="X54" s="106" cm="1">
        <f t="array" aca="1" ref="X54" ca="1">SUMPRODUCT(INDEX($I$89:$X$91,0,COLUMN()-9),规则表!$R$17:$R$19)</f>
        <v>90000</v>
      </c>
    </row>
    <row r="55" spans="1:27">
      <c r="C55" s="90" t="s">
        <v>200</v>
      </c>
      <c r="D55" s="105"/>
      <c r="E55" s="105"/>
      <c r="F55" s="105"/>
      <c r="G55" s="105"/>
      <c r="H55" s="105"/>
      <c r="I55" s="106"/>
      <c r="J55" s="106" cm="1">
        <f t="array" aca="1" ref="J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0</v>
      </c>
      <c r="K55" s="106" cm="1">
        <f t="array" aca="1" ref="K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6000</v>
      </c>
      <c r="L55" s="106" cm="1">
        <f t="array" aca="1" ref="L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0</v>
      </c>
      <c r="M55" s="106" cm="1">
        <f t="array" aca="1" ref="M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6000</v>
      </c>
      <c r="N55" s="106" cm="1">
        <f t="array" aca="1" ref="N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0</v>
      </c>
      <c r="O55" s="106" cm="1">
        <f t="array" aca="1" ref="O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6000</v>
      </c>
      <c r="P55" s="106" cm="1">
        <f t="array" aca="1" ref="P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0</v>
      </c>
      <c r="Q55" s="106" cm="1">
        <f t="array" aca="1" ref="Q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0</v>
      </c>
      <c r="R55" s="106" cm="1">
        <f t="array" aca="1" ref="R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0</v>
      </c>
      <c r="S55" s="106" cm="1">
        <f t="array" aca="1" ref="S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0</v>
      </c>
      <c r="T55" s="106" cm="1">
        <f t="array" aca="1" ref="T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0</v>
      </c>
      <c r="U55" s="106" cm="1">
        <f t="array" aca="1" ref="U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0</v>
      </c>
      <c r="V55" s="106" cm="1">
        <f t="array" aca="1" ref="V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0</v>
      </c>
      <c r="W55" s="106" cm="1">
        <f t="array" aca="1" ref="W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0</v>
      </c>
      <c r="X55" s="106" cm="1">
        <f t="array" aca="1" ref="X55" ca="1">SUMPRODUCT((INDEX($I$89:$X$91,0,COLUMN()-8)-INDEX($I$89:$X$91,0,COLUMN()-9)&gt;0)*(INDEX($I$89:$X$91,0,COLUMN()-8)-INDEX($I$89:$X$91,0,COLUMN()-9)),规则表!$T$17:$T$19)+SUMPRODUCT((INDEX($I$111:$X$113,0,COLUMN()-8)-(INDEX($I$89:$X$91,0,COLUMN()-8)-INDEX($I$89:$X$91,0,COLUMN()-9))&gt;0)*(INDEX($I$111:$X$113,0,COLUMN()-8)-(INDEX($I$89:$X$91,0,COLUMN()-8)-INDEX($I$89:$X$91,0,COLUMN()-9))),规则表!$U$17:$U$19)</f>
        <v>0</v>
      </c>
    </row>
    <row r="56" spans="1:27">
      <c r="C56" s="90" t="s">
        <v>113</v>
      </c>
      <c r="I56" s="106" cm="1">
        <f t="array" ref="I56">SUMPRODUCT(I68:I70&gt;0,规则表!$G$17:$G$19)</f>
        <v>0</v>
      </c>
      <c r="J56" s="106" cm="1">
        <f t="array" ref="J56">SUMPRODUCT(J68:J70&gt;0,规则表!$G$17:$G$19)</f>
        <v>0</v>
      </c>
      <c r="K56" s="106" cm="1">
        <f t="array" ref="K56">SUMPRODUCT(K68:K70&gt;0,规则表!$G$17:$G$19)</f>
        <v>0</v>
      </c>
      <c r="L56" s="106" cm="1">
        <f t="array" ref="L56">SUMPRODUCT(L68:L70&gt;0,规则表!$G$17:$G$19)</f>
        <v>0</v>
      </c>
      <c r="M56" s="106" cm="1">
        <f t="array" ref="M56">SUMPRODUCT(M68:M70&gt;0,规则表!$G$17:$G$19)</f>
        <v>0</v>
      </c>
      <c r="N56" s="106" cm="1">
        <f t="array" ref="N56">SUMPRODUCT(N68:N70&gt;0,规则表!$G$17:$G$19)</f>
        <v>0</v>
      </c>
      <c r="O56" s="106" cm="1">
        <f t="array" ref="O56">SUMPRODUCT(O68:O70&gt;0,规则表!$G$17:$G$19)</f>
        <v>0</v>
      </c>
      <c r="P56" s="106" cm="1">
        <f t="array" ref="P56">SUMPRODUCT(P68:P70&gt;0,规则表!$G$17:$G$19)</f>
        <v>0</v>
      </c>
      <c r="Q56" s="106" cm="1">
        <f t="array" ref="Q56">SUMPRODUCT(Q68:Q70&gt;0,规则表!$G$17:$G$19)</f>
        <v>0</v>
      </c>
      <c r="R56" s="106" cm="1">
        <f t="array" ref="R56">SUMPRODUCT(R68:R70&gt;0,规则表!$G$17:$G$19)</f>
        <v>0</v>
      </c>
      <c r="S56" s="106" cm="1">
        <f t="array" ref="S56">SUMPRODUCT(S68:S70&gt;0,规则表!$G$17:$G$19)</f>
        <v>0</v>
      </c>
      <c r="T56" s="106" cm="1">
        <f t="array" ref="T56">SUMPRODUCT(T68:T70&gt;0,规则表!$G$17:$G$19)</f>
        <v>0</v>
      </c>
      <c r="U56" s="106" cm="1">
        <f t="array" ref="U56">SUMPRODUCT(U68:U70&gt;0,规则表!$G$17:$G$19)</f>
        <v>0</v>
      </c>
      <c r="V56" s="106" cm="1">
        <f t="array" ref="V56">SUMPRODUCT(V68:V70&gt;0,规则表!$G$17:$G$19)</f>
        <v>0</v>
      </c>
      <c r="W56" s="106" cm="1">
        <f t="array" ref="W56">SUMPRODUCT(W68:W70&gt;0,规则表!$G$17:$G$19)</f>
        <v>0</v>
      </c>
      <c r="X56" s="106" cm="1">
        <f t="array" ref="X56">SUMPRODUCT(X68:X70&gt;0,规则表!$G$17:$G$19)</f>
        <v>0</v>
      </c>
    </row>
    <row r="57" spans="1:27">
      <c r="C57" s="90" t="s">
        <v>201</v>
      </c>
      <c r="I57" s="106">
        <v>0</v>
      </c>
      <c r="J57" s="106" cm="1">
        <f t="array" aca="1" ref="J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0</v>
      </c>
      <c r="K57" s="106" cm="1">
        <f t="array" aca="1" ref="K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1020</v>
      </c>
      <c r="L57" s="106" cm="1">
        <f t="array" aca="1" ref="L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0</v>
      </c>
      <c r="M57" s="106" cm="1">
        <f t="array" aca="1" ref="M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1020</v>
      </c>
      <c r="N57" s="106" cm="1">
        <f t="array" aca="1" ref="N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0</v>
      </c>
      <c r="O57" s="106" cm="1">
        <f t="array" aca="1" ref="O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1020</v>
      </c>
      <c r="P57" s="106" cm="1">
        <f t="array" aca="1" ref="P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0</v>
      </c>
      <c r="Q57" s="106" cm="1">
        <f t="array" aca="1" ref="Q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0</v>
      </c>
      <c r="R57" s="106" cm="1">
        <f t="array" aca="1" ref="R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0</v>
      </c>
      <c r="S57" s="106" cm="1">
        <f t="array" aca="1" ref="S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0</v>
      </c>
      <c r="T57" s="106" cm="1">
        <f t="array" aca="1" ref="T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0</v>
      </c>
      <c r="U57" s="106" cm="1">
        <f t="array" aca="1" ref="U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0</v>
      </c>
      <c r="V57" s="106" cm="1">
        <f t="array" aca="1" ref="V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0</v>
      </c>
      <c r="W57" s="106" cm="1">
        <f t="array" aca="1" ref="W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0</v>
      </c>
      <c r="X57" s="106" cm="1">
        <f t="array" aca="1" ref="X57" ca="1">SUMPRODUCT((INDEX($I$89:$X$91,0,COLUMN()-8)-INDEX($I$89:$X$91,0,COLUMN()-9)&gt;0)*(INDEX($I$89:$X$91,0,COLUMN()-8)-INDEX($I$89:$X$91,0,COLUMN()-9)),规则表!$W$17:$W$19)+SUMPRODUCT((INDEX($I$111:$X$113,0,COLUMN()-8)-(INDEX($I$89:$X$91,0,COLUMN()-8)-INDEX($I$89:$X$91,0,COLUMN()-9))&gt;0)*(INDEX($I$111:$X$113,0,COLUMN()-8)-(INDEX($I$89:$X$91,0,COLUMN()-8)-INDEX($I$89:$X$91,0,COLUMN()-9))),规则表!$X$17:$X$19)</f>
        <v>0</v>
      </c>
    </row>
    <row r="58" spans="1:27">
      <c r="C58" s="90" t="s">
        <v>202</v>
      </c>
      <c r="I58" s="106"/>
      <c r="J58" s="107" cm="1">
        <f t="array" aca="1" ref="J58" ca="1">SUMPRODUCT(($I$3:INDEX($I$3:$X$3,MAX(1,COLUMN()-9))=$A$1)*$I$57:INDEX($I$57:$X$57,MAX(1,COLUMN()-9)))+SUMPRODUCT((INDEX($I$3:$X$3,MAX(1,COLUMN()-8))=$B$1)*INDEX($I$55:$X$55,MAX(1,COLUMN()-8)))</f>
        <v>0</v>
      </c>
      <c r="K58" s="107" cm="1">
        <f t="array" aca="1" ref="K58" ca="1">SUMPRODUCT(($I$3:INDEX($I$3:$X$3,MAX(1,COLUMN()-9))=$A$1)*$I$57:INDEX($I$57:$X$57,MAX(1,COLUMN()-9)))*3+SUMPRODUCT((INDEX($I$3:$X$3,MAX(1,COLUMN()-8))=$B$1)*INDEX($I$55:$X$55,MAX(1,COLUMN()-8)))</f>
        <v>6000</v>
      </c>
      <c r="L58" s="107" cm="1">
        <f t="array" aca="1" ref="L58" ca="1">SUMPRODUCT(($I$3:INDEX($I$3:$X$3,MAX(1,COLUMN()-9))=$A$1)*$I$57:INDEX($I$57:$X$57,MAX(1,COLUMN()-9)))*3+SUMPRODUCT((INDEX($I$3:$X$3,MAX(1,COLUMN()-8))=$B$1)*INDEX($I$55:$X$55,MAX(1,COLUMN()-8)))</f>
        <v>0</v>
      </c>
      <c r="M58" s="107" cm="1">
        <f t="array" aca="1" ref="M58" ca="1">SUMPRODUCT(($I$3:INDEX($I$3:$X$3,MAX(1,COLUMN()-9))=$A$1)*$I$57:INDEX($I$57:$X$57,MAX(1,COLUMN()-9)))*3+SUMPRODUCT((INDEX($I$3:$X$3,MAX(1,COLUMN()-8))=$B$1)*INDEX($I$55:$X$55,MAX(1,COLUMN()-8)))</f>
        <v>6000</v>
      </c>
      <c r="N58" s="107" cm="1">
        <f t="array" aca="1" ref="N58" ca="1">SUMPRODUCT(($M$3:INDEX($M$3:$Q$3,MAX(1,COLUMN()-13))=$A$1)*$M$57:INDEX($M$57:$Q$57,MAX(1,COLUMN()-13)))*3+SUMPRODUCT((INDEX($I$3:$X$3,MAX(1,COLUMN()-8))=$B$1)*INDEX($I$55:$X$55,MAX(1,COLUMN()-8)))</f>
        <v>0</v>
      </c>
      <c r="O58" s="107" cm="1">
        <f t="array" aca="1" ref="O58" ca="1">SUMPRODUCT(($M$3:INDEX($M$3:$Q$3,MAX(1,COLUMN()-13))=$A$1)*$M$57:INDEX($M$57:$Q$57,MAX(1,COLUMN()-13)))*3+SUMPRODUCT((INDEX($I$3:$X$3,MAX(1,COLUMN()-8))=$B$1)*INDEX($I$55:$X$55,MAX(1,COLUMN()-8)))</f>
        <v>6000</v>
      </c>
      <c r="P58" s="107" cm="1">
        <f t="array" aca="1" ref="P58" ca="1">SUMPRODUCT(($M$3:INDEX($M$3:$Q$3,MAX(1,COLUMN()-13))=$A$1)*$M$57:INDEX($M$57:$Q$57,MAX(1,COLUMN()-13)))*3+SUMPRODUCT((INDEX($I$3:$X$3,MAX(1,COLUMN()-8))=$B$1)*INDEX($I$55:$X$55,MAX(1,COLUMN()-8)))</f>
        <v>0</v>
      </c>
      <c r="Q58" s="107" cm="1">
        <f t="array" aca="1" ref="Q58" ca="1">SUMPRODUCT(($M$3:INDEX($M$3:$Q$3,MAX(1,COLUMN()-13))=$A$1)*$M$57:INDEX($M$57:$Q$57,MAX(1,COLUMN()-13)))*3+SUMPRODUCT((INDEX($I$3:$X$3,MAX(1,COLUMN()-8))=$B$1)*INDEX($I$55:$X$55,MAX(1,COLUMN()-8)))</f>
        <v>0</v>
      </c>
      <c r="R58" s="107" cm="1">
        <f t="array" aca="1" ref="R58" ca="1">SUMPRODUCT(($Q$3:INDEX($Q$3:$U$3,MAX(1,COLUMN()-17))=$A$1)*$Q$57:INDEX($Q$57:$U$57,MAX(1,COLUMN()-17)))*3+SUMPRODUCT((INDEX($I$3:$X$3,MAX(1,COLUMN()-8))=$B$1)*INDEX($I$55:$X$55,MAX(1,COLUMN()-8)))</f>
        <v>0</v>
      </c>
      <c r="S58" s="107" cm="1">
        <f t="array" aca="1" ref="S58" ca="1">SUMPRODUCT(($Q$3:INDEX($Q$3:$U$3,MAX(1,COLUMN()-17))=$A$1)*$Q$57:INDEX($Q$57:$U$57,MAX(1,COLUMN()-17)))*3+SUMPRODUCT((INDEX($I$3:$X$3,MAX(1,COLUMN()-8))=$B$1)*INDEX($I$55:$X$55,MAX(1,COLUMN()-8)))</f>
        <v>0</v>
      </c>
      <c r="T58" s="107" cm="1">
        <f t="array" aca="1" ref="T58" ca="1">SUMPRODUCT(($Q$3:INDEX($Q$3:$U$3,MAX(1,COLUMN()-17))=$A$1)*$Q$57:INDEX($Q$57:$U$57,MAX(1,COLUMN()-17)))*3+SUMPRODUCT((INDEX($I$3:$X$3,MAX(1,COLUMN()-8))=$B$1)*INDEX($I$55:$X$55,MAX(1,COLUMN()-8)))</f>
        <v>0</v>
      </c>
      <c r="U58" s="107" cm="1">
        <f t="array" aca="1" ref="U58" ca="1">SUMPRODUCT(($Q$3:INDEX($Q$3:$U$3,MAX(1,COLUMN()-17))=$A$1)*$Q$57:INDEX($Q$57:$U$57,MAX(1,COLUMN()-17)))*3+SUMPRODUCT((INDEX($I$3:$X$3,MAX(1,COLUMN()-8))=$B$1)*INDEX($I$55:$X$55,MAX(1,COLUMN()-8)))</f>
        <v>0</v>
      </c>
      <c r="V58" s="107" cm="1">
        <f t="array" aca="1" ref="V58" ca="1">SUMPRODUCT(($U$3:INDEX($U$3:$X$3,MAX(1,COLUMN())-21)=$A$1)*$U$57:INDEX($U$57:$X$57,MAX(1,COLUMN()-21)))*3+SUMPRODUCT((INDEX($I$3:$X$3,MAX(1,COLUMN()-8))=$B$1)*INDEX($I$55:$X$55,MAX(1,COLUMN()-8)))</f>
        <v>0</v>
      </c>
      <c r="W58" s="107" cm="1">
        <f t="array" aca="1" ref="W58" ca="1">SUMPRODUCT(($U$3:INDEX($U$3:$X$3,MAX(1,COLUMN())-21)=$A$1)*$U$57:INDEX($U$57:$X$57,MAX(1,COLUMN()-21)))*3+SUMPRODUCT((INDEX($I$3:$X$3,MAX(1,COLUMN()-8))=$B$1)*INDEX($I$55:$X$55,MAX(1,COLUMN()-8)))</f>
        <v>0</v>
      </c>
      <c r="X58" s="107" cm="1">
        <f t="array" aca="1" ref="X58" ca="1">SUMPRODUCT(($U$3:INDEX($U$3:$X$3,MAX(1,COLUMN())-21)=$A$1)*$U$57:INDEX($U$57:$X$57,MAX(1,COLUMN()-21)))*3+SUMPRODUCT((INDEX($I$3:$X$3,MAX(1,COLUMN()-8))=$B$1)*INDEX($I$55:$X$55,MAX(1,COLUMN()-8)))</f>
        <v>0</v>
      </c>
    </row>
    <row r="60" spans="1:27">
      <c r="B60" s="356" t="s">
        <v>187</v>
      </c>
      <c r="C60" s="90" t="s">
        <v>203</v>
      </c>
      <c r="D60" s="91"/>
      <c r="E60" s="91"/>
      <c r="F60" s="91"/>
      <c r="G60" s="91"/>
      <c r="H60" s="91"/>
      <c r="I60" s="108">
        <f>SUM(I4:I8)</f>
        <v>10</v>
      </c>
      <c r="J60" s="108">
        <f t="shared" ref="J60:X60" si="0">SUM(J4:J8)</f>
        <v>0</v>
      </c>
      <c r="K60" s="108">
        <f t="shared" si="0"/>
        <v>0</v>
      </c>
      <c r="L60" s="108">
        <f t="shared" si="0"/>
        <v>0</v>
      </c>
      <c r="M60" s="108">
        <f t="shared" si="0"/>
        <v>0</v>
      </c>
      <c r="N60" s="108">
        <f t="shared" si="0"/>
        <v>0</v>
      </c>
      <c r="O60" s="108">
        <f t="shared" si="0"/>
        <v>0</v>
      </c>
      <c r="P60" s="108">
        <f t="shared" si="0"/>
        <v>0</v>
      </c>
      <c r="Q60" s="108">
        <f t="shared" si="0"/>
        <v>0</v>
      </c>
      <c r="R60" s="108">
        <f t="shared" si="0"/>
        <v>0</v>
      </c>
      <c r="S60" s="108">
        <f t="shared" si="0"/>
        <v>0</v>
      </c>
      <c r="T60" s="108">
        <f t="shared" si="0"/>
        <v>0</v>
      </c>
      <c r="U60" s="108">
        <f t="shared" si="0"/>
        <v>0</v>
      </c>
      <c r="V60" s="108">
        <f t="shared" si="0"/>
        <v>0</v>
      </c>
      <c r="W60" s="108">
        <f t="shared" si="0"/>
        <v>0</v>
      </c>
      <c r="X60" s="108">
        <f t="shared" si="0"/>
        <v>0</v>
      </c>
    </row>
    <row r="61" spans="1:27">
      <c r="B61" s="356"/>
      <c r="C61" s="90" t="s">
        <v>36</v>
      </c>
      <c r="D61" s="91"/>
      <c r="E61" s="91"/>
      <c r="F61" s="91"/>
      <c r="G61" s="91"/>
      <c r="H61" s="91"/>
      <c r="I61" s="109">
        <f>SUM(I9:I13)</f>
        <v>0</v>
      </c>
      <c r="J61" s="109">
        <f>SUM(J9:J13)</f>
        <v>0</v>
      </c>
      <c r="K61" s="109">
        <f t="shared" ref="K61:X61" si="1">SUM(K9:K13)</f>
        <v>0</v>
      </c>
      <c r="L61" s="109">
        <f t="shared" si="1"/>
        <v>0</v>
      </c>
      <c r="M61" s="109">
        <f t="shared" si="1"/>
        <v>0</v>
      </c>
      <c r="N61" s="109">
        <f t="shared" si="1"/>
        <v>0</v>
      </c>
      <c r="O61" s="109">
        <f t="shared" si="1"/>
        <v>0</v>
      </c>
      <c r="P61" s="109">
        <f t="shared" si="1"/>
        <v>0</v>
      </c>
      <c r="Q61" s="109">
        <f t="shared" si="1"/>
        <v>0</v>
      </c>
      <c r="R61" s="109">
        <f t="shared" si="1"/>
        <v>0</v>
      </c>
      <c r="S61" s="109">
        <f t="shared" si="1"/>
        <v>0</v>
      </c>
      <c r="T61" s="109">
        <f t="shared" si="1"/>
        <v>0</v>
      </c>
      <c r="U61" s="109">
        <f t="shared" si="1"/>
        <v>0</v>
      </c>
      <c r="V61" s="109">
        <f t="shared" si="1"/>
        <v>0</v>
      </c>
      <c r="W61" s="109">
        <f t="shared" si="1"/>
        <v>0</v>
      </c>
      <c r="X61" s="109">
        <f t="shared" si="1"/>
        <v>0</v>
      </c>
    </row>
    <row r="62" spans="1:27">
      <c r="B62" s="356"/>
      <c r="C62" s="90" t="s">
        <v>37</v>
      </c>
      <c r="D62" s="91"/>
      <c r="E62" s="91"/>
      <c r="F62" s="91"/>
      <c r="G62" s="91"/>
      <c r="H62" s="91"/>
      <c r="I62" s="110">
        <f>SUM(I14:I18)</f>
        <v>0</v>
      </c>
      <c r="J62" s="110">
        <f t="shared" ref="J62:X62" si="2">SUM(J14:J18)</f>
        <v>0</v>
      </c>
      <c r="K62" s="110">
        <f t="shared" si="2"/>
        <v>0</v>
      </c>
      <c r="L62" s="110">
        <f t="shared" si="2"/>
        <v>0</v>
      </c>
      <c r="M62" s="110">
        <f t="shared" si="2"/>
        <v>0</v>
      </c>
      <c r="N62" s="110">
        <f t="shared" si="2"/>
        <v>0</v>
      </c>
      <c r="O62" s="110">
        <f t="shared" si="2"/>
        <v>0</v>
      </c>
      <c r="P62" s="110">
        <f t="shared" si="2"/>
        <v>0</v>
      </c>
      <c r="Q62" s="110">
        <f t="shared" si="2"/>
        <v>0</v>
      </c>
      <c r="R62" s="110">
        <f t="shared" si="2"/>
        <v>0</v>
      </c>
      <c r="S62" s="110">
        <f t="shared" si="2"/>
        <v>0</v>
      </c>
      <c r="T62" s="110">
        <f t="shared" si="2"/>
        <v>0</v>
      </c>
      <c r="U62" s="110">
        <f t="shared" si="2"/>
        <v>0</v>
      </c>
      <c r="V62" s="110">
        <f t="shared" si="2"/>
        <v>0</v>
      </c>
      <c r="W62" s="110">
        <f t="shared" si="2"/>
        <v>0</v>
      </c>
      <c r="X62" s="110">
        <f t="shared" si="2"/>
        <v>0</v>
      </c>
    </row>
    <row r="64" spans="1:27">
      <c r="B64" s="356" t="s">
        <v>193</v>
      </c>
      <c r="C64" s="90" t="s">
        <v>203</v>
      </c>
      <c r="D64" s="91"/>
      <c r="E64" s="91"/>
      <c r="F64" s="91"/>
      <c r="G64" s="91"/>
      <c r="H64" s="91"/>
      <c r="I64" s="108">
        <f>SUM(I20:I24)</f>
        <v>0</v>
      </c>
      <c r="J64" s="108">
        <f t="shared" ref="J64:X64" si="3">SUM(J20:J24)</f>
        <v>0</v>
      </c>
      <c r="K64" s="108">
        <f t="shared" si="3"/>
        <v>0</v>
      </c>
      <c r="L64" s="108">
        <f t="shared" si="3"/>
        <v>0</v>
      </c>
      <c r="M64" s="108">
        <f t="shared" si="3"/>
        <v>0</v>
      </c>
      <c r="N64" s="108">
        <f t="shared" si="3"/>
        <v>0</v>
      </c>
      <c r="O64" s="108">
        <f t="shared" si="3"/>
        <v>0</v>
      </c>
      <c r="P64" s="108">
        <f t="shared" si="3"/>
        <v>0</v>
      </c>
      <c r="Q64" s="108">
        <f t="shared" si="3"/>
        <v>0</v>
      </c>
      <c r="R64" s="108">
        <f t="shared" si="3"/>
        <v>0</v>
      </c>
      <c r="S64" s="108">
        <f t="shared" si="3"/>
        <v>0</v>
      </c>
      <c r="T64" s="108">
        <f t="shared" si="3"/>
        <v>0</v>
      </c>
      <c r="U64" s="108">
        <f t="shared" si="3"/>
        <v>0</v>
      </c>
      <c r="V64" s="108">
        <f t="shared" si="3"/>
        <v>0</v>
      </c>
      <c r="W64" s="108">
        <f t="shared" si="3"/>
        <v>0</v>
      </c>
      <c r="X64" s="108">
        <f t="shared" si="3"/>
        <v>0</v>
      </c>
    </row>
    <row r="65" spans="1:24">
      <c r="B65" s="356"/>
      <c r="C65" s="90" t="s">
        <v>36</v>
      </c>
      <c r="D65" s="91"/>
      <c r="E65" s="91"/>
      <c r="F65" s="91"/>
      <c r="G65" s="91"/>
      <c r="H65" s="91"/>
      <c r="I65" s="109">
        <f>SUM(I25:I29)</f>
        <v>0</v>
      </c>
      <c r="J65" s="109">
        <f t="shared" ref="J65:X65" si="4">SUM(J25:J29)</f>
        <v>0</v>
      </c>
      <c r="K65" s="109">
        <f t="shared" si="4"/>
        <v>0</v>
      </c>
      <c r="L65" s="109">
        <f t="shared" si="4"/>
        <v>0</v>
      </c>
      <c r="M65" s="109">
        <f t="shared" si="4"/>
        <v>0</v>
      </c>
      <c r="N65" s="109">
        <f t="shared" si="4"/>
        <v>0</v>
      </c>
      <c r="O65" s="109">
        <f t="shared" si="4"/>
        <v>0</v>
      </c>
      <c r="P65" s="109">
        <f t="shared" si="4"/>
        <v>0</v>
      </c>
      <c r="Q65" s="109">
        <f t="shared" si="4"/>
        <v>0</v>
      </c>
      <c r="R65" s="109">
        <f t="shared" si="4"/>
        <v>0</v>
      </c>
      <c r="S65" s="109">
        <f t="shared" si="4"/>
        <v>0</v>
      </c>
      <c r="T65" s="109">
        <f t="shared" si="4"/>
        <v>0</v>
      </c>
      <c r="U65" s="109">
        <f t="shared" si="4"/>
        <v>0</v>
      </c>
      <c r="V65" s="109">
        <f t="shared" si="4"/>
        <v>0</v>
      </c>
      <c r="W65" s="109">
        <f t="shared" si="4"/>
        <v>0</v>
      </c>
      <c r="X65" s="109">
        <f t="shared" si="4"/>
        <v>0</v>
      </c>
    </row>
    <row r="66" spans="1:24">
      <c r="B66" s="356"/>
      <c r="C66" s="90" t="s">
        <v>37</v>
      </c>
      <c r="D66" s="91"/>
      <c r="E66" s="91"/>
      <c r="F66" s="91"/>
      <c r="G66" s="91"/>
      <c r="H66" s="91"/>
      <c r="I66" s="110">
        <f>SUM(I30:I34)</f>
        <v>0</v>
      </c>
      <c r="J66" s="110">
        <f t="shared" ref="J66:X66" si="5">SUM(J30:J34)</f>
        <v>0</v>
      </c>
      <c r="K66" s="110">
        <f t="shared" si="5"/>
        <v>0</v>
      </c>
      <c r="L66" s="110">
        <f t="shared" si="5"/>
        <v>0</v>
      </c>
      <c r="M66" s="110">
        <f t="shared" si="5"/>
        <v>0</v>
      </c>
      <c r="N66" s="110">
        <f t="shared" si="5"/>
        <v>0</v>
      </c>
      <c r="O66" s="110">
        <f t="shared" si="5"/>
        <v>0</v>
      </c>
      <c r="P66" s="110">
        <f t="shared" si="5"/>
        <v>0</v>
      </c>
      <c r="Q66" s="110">
        <f t="shared" si="5"/>
        <v>0</v>
      </c>
      <c r="R66" s="110">
        <f t="shared" si="5"/>
        <v>0</v>
      </c>
      <c r="S66" s="110">
        <f t="shared" si="5"/>
        <v>0</v>
      </c>
      <c r="T66" s="110">
        <f t="shared" si="5"/>
        <v>0</v>
      </c>
      <c r="U66" s="110">
        <f t="shared" si="5"/>
        <v>0</v>
      </c>
      <c r="V66" s="110">
        <f t="shared" si="5"/>
        <v>0</v>
      </c>
      <c r="W66" s="110">
        <f t="shared" si="5"/>
        <v>0</v>
      </c>
      <c r="X66" s="110">
        <f t="shared" si="5"/>
        <v>0</v>
      </c>
    </row>
    <row r="67" spans="1:24" ht="14.1" customHeight="1"/>
    <row r="68" spans="1:24">
      <c r="B68" s="356" t="s">
        <v>204</v>
      </c>
      <c r="C68" s="90" t="s">
        <v>203</v>
      </c>
      <c r="D68" s="91"/>
      <c r="E68" s="91"/>
      <c r="F68" s="91"/>
      <c r="G68" s="91"/>
      <c r="H68" s="91"/>
      <c r="I68" s="108">
        <f>SUM(I36:I40)</f>
        <v>0</v>
      </c>
      <c r="J68" s="108">
        <f t="shared" ref="J68:X68" si="6">SUM(J36:J40)</f>
        <v>0</v>
      </c>
      <c r="K68" s="108">
        <f t="shared" si="6"/>
        <v>0</v>
      </c>
      <c r="L68" s="108">
        <f t="shared" si="6"/>
        <v>0</v>
      </c>
      <c r="M68" s="108">
        <f t="shared" si="6"/>
        <v>0</v>
      </c>
      <c r="N68" s="108">
        <f t="shared" si="6"/>
        <v>0</v>
      </c>
      <c r="O68" s="108">
        <f t="shared" si="6"/>
        <v>0</v>
      </c>
      <c r="P68" s="108">
        <f t="shared" si="6"/>
        <v>0</v>
      </c>
      <c r="Q68" s="108">
        <f t="shared" si="6"/>
        <v>0</v>
      </c>
      <c r="R68" s="108">
        <f t="shared" si="6"/>
        <v>0</v>
      </c>
      <c r="S68" s="108">
        <f t="shared" si="6"/>
        <v>0</v>
      </c>
      <c r="T68" s="108">
        <f t="shared" si="6"/>
        <v>0</v>
      </c>
      <c r="U68" s="108">
        <f t="shared" si="6"/>
        <v>0</v>
      </c>
      <c r="V68" s="108">
        <f t="shared" si="6"/>
        <v>0</v>
      </c>
      <c r="W68" s="108">
        <f t="shared" si="6"/>
        <v>0</v>
      </c>
      <c r="X68" s="108">
        <f t="shared" si="6"/>
        <v>0</v>
      </c>
    </row>
    <row r="69" spans="1:24">
      <c r="A69" s="111"/>
      <c r="B69" s="356"/>
      <c r="C69" s="90" t="s">
        <v>36</v>
      </c>
      <c r="D69" s="91"/>
      <c r="E69" s="91"/>
      <c r="F69" s="91"/>
      <c r="G69" s="91"/>
      <c r="H69" s="91"/>
      <c r="I69" s="109">
        <f>SUM(I41:I45)</f>
        <v>0</v>
      </c>
      <c r="J69" s="109">
        <f t="shared" ref="J69:X69" si="7">SUM(J41:J45)</f>
        <v>0</v>
      </c>
      <c r="K69" s="109">
        <f t="shared" si="7"/>
        <v>0</v>
      </c>
      <c r="L69" s="109">
        <f t="shared" si="7"/>
        <v>0</v>
      </c>
      <c r="M69" s="109">
        <f t="shared" si="7"/>
        <v>0</v>
      </c>
      <c r="N69" s="109">
        <f t="shared" si="7"/>
        <v>0</v>
      </c>
      <c r="O69" s="109">
        <f t="shared" si="7"/>
        <v>0</v>
      </c>
      <c r="P69" s="109">
        <f t="shared" si="7"/>
        <v>0</v>
      </c>
      <c r="Q69" s="109">
        <f t="shared" si="7"/>
        <v>0</v>
      </c>
      <c r="R69" s="109">
        <f t="shared" si="7"/>
        <v>0</v>
      </c>
      <c r="S69" s="109">
        <f t="shared" si="7"/>
        <v>0</v>
      </c>
      <c r="T69" s="109">
        <f t="shared" si="7"/>
        <v>0</v>
      </c>
      <c r="U69" s="109">
        <f t="shared" si="7"/>
        <v>0</v>
      </c>
      <c r="V69" s="109">
        <f t="shared" si="7"/>
        <v>0</v>
      </c>
      <c r="W69" s="109">
        <f t="shared" si="7"/>
        <v>0</v>
      </c>
      <c r="X69" s="109">
        <f t="shared" si="7"/>
        <v>0</v>
      </c>
    </row>
    <row r="70" spans="1:24">
      <c r="A70" s="111"/>
      <c r="B70" s="356"/>
      <c r="C70" s="90" t="s">
        <v>37</v>
      </c>
      <c r="D70" s="91"/>
      <c r="E70" s="91"/>
      <c r="F70" s="91"/>
      <c r="G70" s="91"/>
      <c r="H70" s="91"/>
      <c r="I70" s="110">
        <f>SUM(I46:I50)</f>
        <v>0</v>
      </c>
      <c r="J70" s="110">
        <f t="shared" ref="J70:X70" si="8">SUM(J46:J50)</f>
        <v>0</v>
      </c>
      <c r="K70" s="110">
        <f t="shared" si="8"/>
        <v>0</v>
      </c>
      <c r="L70" s="110">
        <f t="shared" si="8"/>
        <v>0</v>
      </c>
      <c r="M70" s="110">
        <f t="shared" si="8"/>
        <v>0</v>
      </c>
      <c r="N70" s="110">
        <f t="shared" si="8"/>
        <v>0</v>
      </c>
      <c r="O70" s="110">
        <f t="shared" si="8"/>
        <v>0</v>
      </c>
      <c r="P70" s="110">
        <f t="shared" si="8"/>
        <v>0</v>
      </c>
      <c r="Q70" s="110">
        <f t="shared" si="8"/>
        <v>0</v>
      </c>
      <c r="R70" s="110">
        <f t="shared" si="8"/>
        <v>0</v>
      </c>
      <c r="S70" s="110">
        <f t="shared" si="8"/>
        <v>0</v>
      </c>
      <c r="T70" s="110">
        <f t="shared" si="8"/>
        <v>0</v>
      </c>
      <c r="U70" s="110">
        <f t="shared" si="8"/>
        <v>0</v>
      </c>
      <c r="V70" s="110">
        <f t="shared" si="8"/>
        <v>0</v>
      </c>
      <c r="W70" s="110">
        <f t="shared" si="8"/>
        <v>0</v>
      </c>
      <c r="X70" s="110">
        <f t="shared" si="8"/>
        <v>0</v>
      </c>
    </row>
    <row r="71" spans="1:24">
      <c r="A71" s="111"/>
      <c r="B71" s="99"/>
      <c r="C71" s="2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</row>
    <row r="72" spans="1:24">
      <c r="A72" s="357" t="s">
        <v>205</v>
      </c>
      <c r="B72" s="356" t="s">
        <v>35</v>
      </c>
      <c r="C72" s="90" t="s">
        <v>188</v>
      </c>
      <c r="D72" s="91"/>
      <c r="E72" s="91"/>
      <c r="F72" s="91"/>
      <c r="G72" s="91"/>
      <c r="H72" s="91"/>
      <c r="I72" s="108" cm="1">
        <f t="array" aca="1" ref="I72" ca="1">SUM(OFFSET(I4,0,-(COLUMN()-1),1,COLUMN()-规则表!$C$17))-SUM(OFFSET(I20,0,-(COLUMN()-1),1,COLUMN()))+SUM(OFFSET(I36,0,-(COLUMN()-1),1,COLUMN()-规则表!$F$17))+SUMPRODUCT((IFERROR(OFFSET(I36,0,-(规则表!$F$17-1),1,规则表!$F$17),0)&lt;0)*IFERROR(FFSET(I36,0,-(规则表!$F$17-1),1,规则表!$F$17),0))</f>
        <v>0</v>
      </c>
      <c r="J72" s="112" cm="1">
        <f t="array" aca="1" ref="J72" ca="1">SUM(OFFSET(J4,0,-(COLUMN()-1),1,COLUMN()-规则表!$C$17))-SUM(OFFSET(J20,0,-(COLUMN()-1),1,COLUMN()))+SUM(OFFSET(J36,0,-(COLUMN()-1),1,COLUMN()-规则表!$F$17))+SUMPRODUCT((IFERROR(OFFSET(J36,0,-(规则表!$F$17-1),1,规则表!$F$17),0)&lt;0)*IFERROR(FFSET(J36,0,-(规则表!$F$17-1),1,规则表!$F$17),0))</f>
        <v>0</v>
      </c>
      <c r="K72" s="112" cm="1">
        <f t="array" aca="1" ref="K72" ca="1">SUM(OFFSET(K4,0,-(COLUMN()-1),1,COLUMN()-规则表!$C$17))-SUM(OFFSET(K20,0,-(COLUMN()-1),1,COLUMN()))+SUM(OFFSET(K36,0,-(COLUMN()-1),1,COLUMN()-规则表!$F$17))+SUMPRODUCT((IFERROR(OFFSET(K36,0,-(规则表!$F$17-1),1,规则表!$F$17),0)&lt;0)*IFERROR(FFSET(K36,0,-(规则表!$F$17-1),1,规则表!$F$17),0))</f>
        <v>0</v>
      </c>
      <c r="L72" s="113" cm="1">
        <f t="array" aca="1" ref="L72" ca="1">SUM(OFFSET(L4,0,-(COLUMN()-1),1,COLUMN()-规则表!$C$17))-SUM(OFFSET(L20,0,-(COLUMN()-1),1,COLUMN()))+SUM(OFFSET(L36,0,-(COLUMN()-1),1,COLUMN()-规则表!$F$17))+SUMPRODUCT((IFERROR(OFFSET(L36,0,-(规则表!$F$17-1),1,规则表!$F$17),0)&lt;0)*IFERROR(FFSET(L36,0,-(规则表!$F$17-1),1,规则表!$F$17),0))</f>
        <v>0</v>
      </c>
      <c r="M72" s="108" cm="1">
        <f t="array" aca="1" ref="M72" ca="1">SUM(OFFSET(M4,0,-(COLUMN()-1),1,COLUMN()-规则表!$C$17))-SUM(OFFSET(M20,0,-(COLUMN()-1),1,COLUMN()))+SUM(OFFSET(M36,0,-(COLUMN()-1),1,COLUMN()-规则表!$F$17))+SUMPRODUCT((IFERROR(OFFSET(M36,0,-(规则表!$F$17-1),1,规则表!$F$17),0)&lt;0)*IFERROR(FFSET(M36,0,-(规则表!$F$17-1),1,规则表!$F$17),0))</f>
        <v>0</v>
      </c>
      <c r="N72" s="112" cm="1">
        <f t="array" aca="1" ref="N72" ca="1">SUM(OFFSET(N4,0,-(COLUMN()-1),1,COLUMN()-规则表!$C$17))-SUM(OFFSET(N20,0,-(COLUMN()-1),1,COLUMN()))+SUM(OFFSET(N36,0,-(COLUMN()-1),1,COLUMN()-规则表!$F$17))+SUMPRODUCT((IFERROR(OFFSET(N36,0,-(规则表!$F$17-1),1,规则表!$F$17),0)&lt;0)*IFERROR(FFSET(N36,0,-(规则表!$F$17-1),1,规则表!$F$17),0))</f>
        <v>0</v>
      </c>
      <c r="O72" s="112" cm="1">
        <f t="array" aca="1" ref="O72" ca="1">SUM(OFFSET(O4,0,-(COLUMN()-1),1,COLUMN()-规则表!$C$17))-SUM(OFFSET(O20,0,-(COLUMN()-1),1,COLUMN()))+SUM(OFFSET(O36,0,-(COLUMN()-1),1,COLUMN()-规则表!$F$17))+SUMPRODUCT((IFERROR(OFFSET(O36,0,-(规则表!$F$17-1),1,规则表!$F$17),0)&lt;0)*IFERROR(FFSET(O36,0,-(规则表!$F$17-1),1,规则表!$F$17),0))</f>
        <v>0</v>
      </c>
      <c r="P72" s="113" cm="1">
        <f t="array" aca="1" ref="P72" ca="1">SUM(OFFSET(P4,0,-(COLUMN()-1),1,COLUMN()-规则表!$C$17))-SUM(OFFSET(P20,0,-(COLUMN()-1),1,COLUMN()))+SUM(OFFSET(P36,0,-(COLUMN()-1),1,COLUMN()-规则表!$F$17))+SUMPRODUCT((IFERROR(OFFSET(P36,0,-(规则表!$F$17-1),1,规则表!$F$17),0)&lt;0)*IFERROR(FFSET(P36,0,-(规则表!$F$17-1),1,规则表!$F$17),0))</f>
        <v>0</v>
      </c>
      <c r="Q72" s="108" cm="1">
        <f t="array" aca="1" ref="Q72" ca="1">SUM(OFFSET(Q4,0,-(COLUMN()-1),1,COLUMN()-规则表!$C$17))-SUM(OFFSET(Q20,0,-(COLUMN()-1),1,COLUMN()))+SUM(OFFSET(Q36,0,-(COLUMN()-1),1,COLUMN()-规则表!$F$17))+SUMPRODUCT((IFERROR(OFFSET(Q36,0,-(规则表!$F$17-1),1,规则表!$F$17),0)&lt;0)*IFERROR(FFSET(Q36,0,-(规则表!$F$17-1),1,规则表!$F$17),0))</f>
        <v>0</v>
      </c>
      <c r="R72" s="112" cm="1">
        <f t="array" aca="1" ref="R72" ca="1">SUM(OFFSET(R4,0,-(COLUMN()-1),1,COLUMN()-规则表!$C$17))-SUM(OFFSET(R20,0,-(COLUMN()-1),1,COLUMN()))+SUM(OFFSET(R36,0,-(COLUMN()-1),1,COLUMN()-规则表!$F$17))+SUMPRODUCT((IFERROR(OFFSET(R36,0,-(规则表!$F$17-1),1,规则表!$F$17),0)&lt;0)*IFERROR(FFSET(R36,0,-(规则表!$F$17-1),1,规则表!$F$17),0))</f>
        <v>0</v>
      </c>
      <c r="S72" s="112" cm="1">
        <f t="array" aca="1" ref="S72" ca="1">SUM(OFFSET(S4,0,-(COLUMN()-1),1,COLUMN()-规则表!$C$17))-SUM(OFFSET(S20,0,-(COLUMN()-1),1,COLUMN()))+SUM(OFFSET(S36,0,-(COLUMN()-1),1,COLUMN()-规则表!$F$17))+SUMPRODUCT((IFERROR(OFFSET(S36,0,-(规则表!$F$17-1),1,规则表!$F$17),0)&lt;0)*IFERROR(FFSET(S36,0,-(规则表!$F$17-1),1,规则表!$F$17),0))</f>
        <v>0</v>
      </c>
      <c r="T72" s="113" cm="1">
        <f t="array" aca="1" ref="T72" ca="1">SUM(OFFSET(T4,0,-(COLUMN()-1),1,COLUMN()-规则表!$C$17))-SUM(OFFSET(T20,0,-(COLUMN()-1),1,COLUMN()))+SUM(OFFSET(T36,0,-(COLUMN()-1),1,COLUMN()-规则表!$F$17))+SUMPRODUCT((IFERROR(OFFSET(T36,0,-(规则表!$F$17-1),1,规则表!$F$17),0)&lt;0)*IFERROR(FFSET(T36,0,-(规则表!$F$17-1),1,规则表!$F$17),0))</f>
        <v>0</v>
      </c>
      <c r="U72" s="108" cm="1">
        <f t="array" aca="1" ref="U72" ca="1">SUM(OFFSET(U4,0,-(COLUMN()-1),1,COLUMN()-规则表!$C$17))-SUM(OFFSET(U20,0,-(COLUMN()-1),1,COLUMN()))+SUM(OFFSET(U36,0,-(COLUMN()-1),1,COLUMN()-规则表!$F$17))+SUMPRODUCT((IFERROR(OFFSET(U36,0,-(规则表!$F$17-1),1,规则表!$F$17),0)&lt;0)*IFERROR(FFSET(U36,0,-(规则表!$F$17-1),1,规则表!$F$17),0))</f>
        <v>0</v>
      </c>
      <c r="V72" s="112" cm="1">
        <f t="array" aca="1" ref="V72" ca="1">SUM(OFFSET(V4,0,-(COLUMN()-1),1,COLUMN()-规则表!$C$17))-SUM(OFFSET(V20,0,-(COLUMN()-1),1,COLUMN()))+SUM(OFFSET(V36,0,-(COLUMN()-1),1,COLUMN()-规则表!$F$17))+SUMPRODUCT((IFERROR(OFFSET(V36,0,-(规则表!$F$17-1),1,规则表!$F$17),0)&lt;0)*IFERROR(FFSET(V36,0,-(规则表!$F$17-1),1,规则表!$F$17),0))</f>
        <v>0</v>
      </c>
      <c r="W72" s="112" cm="1">
        <f t="array" aca="1" ref="W72" ca="1">SUM(OFFSET(W4,0,-(COLUMN()-1),1,COLUMN()-规则表!$C$17))-SUM(OFFSET(W20,0,-(COLUMN()-1),1,COLUMN()))+SUM(OFFSET(W36,0,-(COLUMN()-1),1,COLUMN()-规则表!$F$17))+SUMPRODUCT((IFERROR(OFFSET(W36,0,-(规则表!$F$17-1),1,规则表!$F$17),0)&lt;0)*IFERROR(FFSET(W36,0,-(规则表!$F$17-1),1,规则表!$F$17),0))</f>
        <v>0</v>
      </c>
      <c r="X72" s="113" cm="1">
        <f t="array" aca="1" ref="X72" ca="1">SUM(OFFSET(X4,0,-(COLUMN()-1),1,COLUMN()-规则表!$C$17))-SUM(OFFSET(X20,0,-(COLUMN()-1),1,COLUMN()))+SUM(OFFSET(X36,0,-(COLUMN()-1),1,COLUMN()-规则表!$F$17))+SUMPRODUCT((IFERROR(OFFSET(X36,0,-(规则表!$F$17-1),1,规则表!$F$17),0)&lt;0)*IFERROR(FFSET(X36,0,-(规则表!$F$17-1),1,规则表!$F$17),0))</f>
        <v>0</v>
      </c>
    </row>
    <row r="73" spans="1:24">
      <c r="A73" s="357"/>
      <c r="B73" s="356"/>
      <c r="C73" s="90" t="s">
        <v>189</v>
      </c>
      <c r="D73" s="114"/>
      <c r="E73" s="114"/>
      <c r="F73" s="114"/>
      <c r="G73" s="114"/>
      <c r="H73" s="114"/>
      <c r="I73" s="109" cm="1">
        <f t="array" aca="1" ref="I73" ca="1">SUM(OFFSET(I5,0,-(COLUMN()-1),1,COLUMN()-规则表!$C$17))-SUM(OFFSET(I21,0,-(COLUMN()-1),1,COLUMN()))+SUM(OFFSET(I37,0,-(COLUMN()-1),1,COLUMN()-规则表!$F$17))+SUMPRODUCT((IFERROR(OFFSET(I37,0,-(规则表!$F$17-1),1,规则表!$F$17),0)&lt;0)*IFERROR(FFSET(I37,0,-(规则表!$F$17-1),1,规则表!$F$17),0))</f>
        <v>0</v>
      </c>
      <c r="J73" s="115" cm="1">
        <f t="array" aca="1" ref="J73" ca="1">SUM(OFFSET(J5,0,-(COLUMN()-1),1,COLUMN()-规则表!$C$17))-SUM(OFFSET(J21,0,-(COLUMN()-1),1,COLUMN()))+SUM(OFFSET(J37,0,-(COLUMN()-1),1,COLUMN()-规则表!$F$17))+SUMPRODUCT((IFERROR(OFFSET(J37,0,-(规则表!$F$17-1),1,规则表!$F$17),0)&lt;0)*IFERROR(FFSET(J37,0,-(规则表!$F$17-1),1,规则表!$F$17),0))</f>
        <v>0</v>
      </c>
      <c r="K73" s="115" cm="1">
        <f t="array" aca="1" ref="K73" ca="1">SUM(OFFSET(K5,0,-(COLUMN()-1),1,COLUMN()-规则表!$C$17))-SUM(OFFSET(K21,0,-(COLUMN()-1),1,COLUMN()))+SUM(OFFSET(K37,0,-(COLUMN()-1),1,COLUMN()-规则表!$F$17))+SUMPRODUCT((IFERROR(OFFSET(K37,0,-(规则表!$F$17-1),1,规则表!$F$17),0)&lt;0)*IFERROR(FFSET(K37,0,-(规则表!$F$17-1),1,规则表!$F$17),0))</f>
        <v>0</v>
      </c>
      <c r="L73" s="116" cm="1">
        <f t="array" aca="1" ref="L73" ca="1">SUM(OFFSET(L5,0,-(COLUMN()-1),1,COLUMN()-规则表!$C$17))-SUM(OFFSET(L21,0,-(COLUMN()-1),1,COLUMN()))+SUM(OFFSET(L37,0,-(COLUMN()-1),1,COLUMN()-规则表!$F$17))+SUMPRODUCT((IFERROR(OFFSET(L37,0,-(规则表!$F$17-1),1,规则表!$F$17),0)&lt;0)*IFERROR(FFSET(L37,0,-(规则表!$F$17-1),1,规则表!$F$17),0))</f>
        <v>0</v>
      </c>
      <c r="M73" s="109" cm="1">
        <f t="array" aca="1" ref="M73" ca="1">SUM(OFFSET(M5,0,-(COLUMN()-1),1,COLUMN()-规则表!$C$17))-SUM(OFFSET(M21,0,-(COLUMN()-1),1,COLUMN()))+SUM(OFFSET(M37,0,-(COLUMN()-1),1,COLUMN()-规则表!$F$17))+SUMPRODUCT((IFERROR(OFFSET(M37,0,-(规则表!$F$17-1),1,规则表!$F$17),0)&lt;0)*IFERROR(FFSET(M37,0,-(规则表!$F$17-1),1,规则表!$F$17),0))</f>
        <v>0</v>
      </c>
      <c r="N73" s="115" cm="1">
        <f t="array" aca="1" ref="N73" ca="1">SUM(OFFSET(N5,0,-(COLUMN()-1),1,COLUMN()-规则表!$C$17))-SUM(OFFSET(N21,0,-(COLUMN()-1),1,COLUMN()))+SUM(OFFSET(N37,0,-(COLUMN()-1),1,COLUMN()-规则表!$F$17))+SUMPRODUCT((IFERROR(OFFSET(N37,0,-(规则表!$F$17-1),1,规则表!$F$17),0)&lt;0)*IFERROR(FFSET(N37,0,-(规则表!$F$17-1),1,规则表!$F$17),0))</f>
        <v>0</v>
      </c>
      <c r="O73" s="115" cm="1">
        <f t="array" aca="1" ref="O73" ca="1">SUM(OFFSET(O5,0,-(COLUMN()-1),1,COLUMN()-规则表!$C$17))-SUM(OFFSET(O21,0,-(COLUMN()-1),1,COLUMN()))+SUM(OFFSET(O37,0,-(COLUMN()-1),1,COLUMN()-规则表!$F$17))+SUMPRODUCT((IFERROR(OFFSET(O37,0,-(规则表!$F$17-1),1,规则表!$F$17),0)&lt;0)*IFERROR(FFSET(O37,0,-(规则表!$F$17-1),1,规则表!$F$17),0))</f>
        <v>0</v>
      </c>
      <c r="P73" s="116" cm="1">
        <f t="array" aca="1" ref="P73" ca="1">SUM(OFFSET(P5,0,-(COLUMN()-1),1,COLUMN()-规则表!$C$17))-SUM(OFFSET(P21,0,-(COLUMN()-1),1,COLUMN()))+SUM(OFFSET(P37,0,-(COLUMN()-1),1,COLUMN()-规则表!$F$17))+SUMPRODUCT((IFERROR(OFFSET(P37,0,-(规则表!$F$17-1),1,规则表!$F$17),0)&lt;0)*IFERROR(FFSET(P37,0,-(规则表!$F$17-1),1,规则表!$F$17),0))</f>
        <v>0</v>
      </c>
      <c r="Q73" s="109" cm="1">
        <f t="array" aca="1" ref="Q73" ca="1">SUM(OFFSET(Q5,0,-(COLUMN()-1),1,COLUMN()-规则表!$C$17))-SUM(OFFSET(Q21,0,-(COLUMN()-1),1,COLUMN()))+SUM(OFFSET(Q37,0,-(COLUMN()-1),1,COLUMN()-规则表!$F$17))+SUMPRODUCT((IFERROR(OFFSET(Q37,0,-(规则表!$F$17-1),1,规则表!$F$17),0)&lt;0)*IFERROR(FFSET(Q37,0,-(规则表!$F$17-1),1,规则表!$F$17),0))</f>
        <v>0</v>
      </c>
      <c r="R73" s="115" cm="1">
        <f t="array" aca="1" ref="R73" ca="1">SUM(OFFSET(R5,0,-(COLUMN()-1),1,COLUMN()-规则表!$C$17))-SUM(OFFSET(R21,0,-(COLUMN()-1),1,COLUMN()))+SUM(OFFSET(R37,0,-(COLUMN()-1),1,COLUMN()-规则表!$F$17))+SUMPRODUCT((IFERROR(OFFSET(R37,0,-(规则表!$F$17-1),1,规则表!$F$17),0)&lt;0)*IFERROR(FFSET(R37,0,-(规则表!$F$17-1),1,规则表!$F$17),0))</f>
        <v>0</v>
      </c>
      <c r="S73" s="115" cm="1">
        <f t="array" aca="1" ref="S73" ca="1">SUM(OFFSET(S5,0,-(COLUMN()-1),1,COLUMN()-规则表!$C$17))-SUM(OFFSET(S21,0,-(COLUMN()-1),1,COLUMN()))+SUM(OFFSET(S37,0,-(COLUMN()-1),1,COLUMN()-规则表!$F$17))+SUMPRODUCT((IFERROR(OFFSET(S37,0,-(规则表!$F$17-1),1,规则表!$F$17),0)&lt;0)*IFERROR(FFSET(S37,0,-(规则表!$F$17-1),1,规则表!$F$17),0))</f>
        <v>0</v>
      </c>
      <c r="T73" s="116" cm="1">
        <f t="array" aca="1" ref="T73" ca="1">SUM(OFFSET(T5,0,-(COLUMN()-1),1,COLUMN()-规则表!$C$17))-SUM(OFFSET(T21,0,-(COLUMN()-1),1,COLUMN()))+SUM(OFFSET(T37,0,-(COLUMN()-1),1,COLUMN()-规则表!$F$17))+SUMPRODUCT((IFERROR(OFFSET(T37,0,-(规则表!$F$17-1),1,规则表!$F$17),0)&lt;0)*IFERROR(FFSET(T37,0,-(规则表!$F$17-1),1,规则表!$F$17),0))</f>
        <v>0</v>
      </c>
      <c r="U73" s="109" cm="1">
        <f t="array" aca="1" ref="U73" ca="1">SUM(OFFSET(U5,0,-(COLUMN()-1),1,COLUMN()-规则表!$C$17))-SUM(OFFSET(U21,0,-(COLUMN()-1),1,COLUMN()))+SUM(OFFSET(U37,0,-(COLUMN()-1),1,COLUMN()-规则表!$F$17))+SUMPRODUCT((IFERROR(OFFSET(U37,0,-(规则表!$F$17-1),1,规则表!$F$17),0)&lt;0)*IFERROR(FFSET(U37,0,-(规则表!$F$17-1),1,规则表!$F$17),0))</f>
        <v>0</v>
      </c>
      <c r="V73" s="115" cm="1">
        <f t="array" aca="1" ref="V73" ca="1">SUM(OFFSET(V5,0,-(COLUMN()-1),1,COLUMN()-规则表!$C$17))-SUM(OFFSET(V21,0,-(COLUMN()-1),1,COLUMN()))+SUM(OFFSET(V37,0,-(COLUMN()-1),1,COLUMN()-规则表!$F$17))+SUMPRODUCT((IFERROR(OFFSET(V37,0,-(规则表!$F$17-1),1,规则表!$F$17),0)&lt;0)*IFERROR(FFSET(V37,0,-(规则表!$F$17-1),1,规则表!$F$17),0))</f>
        <v>0</v>
      </c>
      <c r="W73" s="115" cm="1">
        <f t="array" aca="1" ref="W73" ca="1">SUM(OFFSET(W5,0,-(COLUMN()-1),1,COLUMN()-规则表!$C$17))-SUM(OFFSET(W21,0,-(COLUMN()-1),1,COLUMN()))+SUM(OFFSET(W37,0,-(COLUMN()-1),1,COLUMN()-规则表!$F$17))+SUMPRODUCT((IFERROR(OFFSET(W37,0,-(规则表!$F$17-1),1,规则表!$F$17),0)&lt;0)*IFERROR(FFSET(W37,0,-(规则表!$F$17-1),1,规则表!$F$17),0))</f>
        <v>0</v>
      </c>
      <c r="X73" s="116" cm="1">
        <f t="array" aca="1" ref="X73" ca="1">SUM(OFFSET(X5,0,-(COLUMN()-1),1,COLUMN()-规则表!$C$17))-SUM(OFFSET(X21,0,-(COLUMN()-1),1,COLUMN()))+SUM(OFFSET(X37,0,-(COLUMN()-1),1,COLUMN()-规则表!$F$17))+SUMPRODUCT((IFERROR(OFFSET(X37,0,-(规则表!$F$17-1),1,规则表!$F$17),0)&lt;0)*IFERROR(FFSET(X37,0,-(规则表!$F$17-1),1,规则表!$F$17),0))</f>
        <v>0</v>
      </c>
    </row>
    <row r="74" spans="1:24">
      <c r="A74" s="357"/>
      <c r="B74" s="356"/>
      <c r="C74" s="90" t="s">
        <v>190</v>
      </c>
      <c r="D74" s="91"/>
      <c r="E74" s="91"/>
      <c r="F74" s="91"/>
      <c r="G74" s="91"/>
      <c r="H74" s="91"/>
      <c r="I74" s="109" cm="1">
        <f t="array" aca="1" ref="I74" ca="1">SUM(OFFSET(I6,0,-(COLUMN()-1),1,COLUMN()-规则表!$C$17))-SUM(OFFSET(I22,0,-(COLUMN()-1),1,COLUMN()))+SUM(OFFSET(I38,0,-(COLUMN()-1),1,COLUMN()-规则表!$F$17))+SUMPRODUCT((IFERROR(OFFSET(I38,0,-(规则表!$F$17-1),1,规则表!$F$17),0)&lt;0)*IFERROR(FFSET(I38,0,-(规则表!$F$17-1),1,规则表!$F$17),0))</f>
        <v>0</v>
      </c>
      <c r="J74" s="115" cm="1">
        <f t="array" aca="1" ref="J74" ca="1">SUM(OFFSET(J6,0,-(COLUMN()-1),1,COLUMN()-规则表!$C$17))-SUM(OFFSET(J22,0,-(COLUMN()-1),1,COLUMN()))+SUM(OFFSET(J38,0,-(COLUMN()-1),1,COLUMN()-规则表!$F$17))+SUMPRODUCT((IFERROR(OFFSET(J38,0,-(规则表!$F$17-1),1,规则表!$F$17),0)&lt;0)*IFERROR(FFSET(J38,0,-(规则表!$F$17-1),1,规则表!$F$17),0))</f>
        <v>0</v>
      </c>
      <c r="K74" s="115" cm="1">
        <f t="array" aca="1" ref="K74" ca="1">SUM(OFFSET(K6,0,-(COLUMN()-1),1,COLUMN()-规则表!$C$17))-SUM(OFFSET(K22,0,-(COLUMN()-1),1,COLUMN()))+SUM(OFFSET(K38,0,-(COLUMN()-1),1,COLUMN()-规则表!$F$17))+SUMPRODUCT((IFERROR(OFFSET(K38,0,-(规则表!$F$17-1),1,规则表!$F$17),0)&lt;0)*IFERROR(FFSET(K38,0,-(规则表!$F$17-1),1,规则表!$F$17),0))</f>
        <v>0</v>
      </c>
      <c r="L74" s="116" cm="1">
        <f t="array" aca="1" ref="L74" ca="1">SUM(OFFSET(L6,0,-(COLUMN()-1),1,COLUMN()-规则表!$C$17))-SUM(OFFSET(L22,0,-(COLUMN()-1),1,COLUMN()))+SUM(OFFSET(L38,0,-(COLUMN()-1),1,COLUMN()-规则表!$F$17))+SUMPRODUCT((IFERROR(OFFSET(L38,0,-(规则表!$F$17-1),1,规则表!$F$17),0)&lt;0)*IFERROR(FFSET(L38,0,-(规则表!$F$17-1),1,规则表!$F$17),0))</f>
        <v>0</v>
      </c>
      <c r="M74" s="109" cm="1">
        <f t="array" aca="1" ref="M74" ca="1">SUM(OFFSET(M6,0,-(COLUMN()-1),1,COLUMN()-规则表!$C$17))-SUM(OFFSET(M22,0,-(COLUMN()-1),1,COLUMN()))+SUM(OFFSET(M38,0,-(COLUMN()-1),1,COLUMN()-规则表!$F$17))+SUMPRODUCT((IFERROR(OFFSET(M38,0,-(规则表!$F$17-1),1,规则表!$F$17),0)&lt;0)*IFERROR(FFSET(M38,0,-(规则表!$F$17-1),1,规则表!$F$17),0))</f>
        <v>0</v>
      </c>
      <c r="N74" s="115" cm="1">
        <f t="array" aca="1" ref="N74" ca="1">SUM(OFFSET(N6,0,-(COLUMN()-1),1,COLUMN()-规则表!$C$17))-SUM(OFFSET(N22,0,-(COLUMN()-1),1,COLUMN()))+SUM(OFFSET(N38,0,-(COLUMN()-1),1,COLUMN()-规则表!$F$17))+SUMPRODUCT((IFERROR(OFFSET(N38,0,-(规则表!$F$17-1),1,规则表!$F$17),0)&lt;0)*IFERROR(FFSET(N38,0,-(规则表!$F$17-1),1,规则表!$F$17),0))</f>
        <v>0</v>
      </c>
      <c r="O74" s="115" cm="1">
        <f t="array" aca="1" ref="O74" ca="1">SUM(OFFSET(O6,0,-(COLUMN()-1),1,COLUMN()-规则表!$C$17))-SUM(OFFSET(O22,0,-(COLUMN()-1),1,COLUMN()))+SUM(OFFSET(O38,0,-(COLUMN()-1),1,COLUMN()-规则表!$F$17))+SUMPRODUCT((IFERROR(OFFSET(O38,0,-(规则表!$F$17-1),1,规则表!$F$17),0)&lt;0)*IFERROR(FFSET(O38,0,-(规则表!$F$17-1),1,规则表!$F$17),0))</f>
        <v>0</v>
      </c>
      <c r="P74" s="116" cm="1">
        <f t="array" aca="1" ref="P74" ca="1">SUM(OFFSET(P6,0,-(COLUMN()-1),1,COLUMN()-规则表!$C$17))-SUM(OFFSET(P22,0,-(COLUMN()-1),1,COLUMN()))+SUM(OFFSET(P38,0,-(COLUMN()-1),1,COLUMN()-规则表!$F$17))+SUMPRODUCT((IFERROR(OFFSET(P38,0,-(规则表!$F$17-1),1,规则表!$F$17),0)&lt;0)*IFERROR(FFSET(P38,0,-(规则表!$F$17-1),1,规则表!$F$17),0))</f>
        <v>0</v>
      </c>
      <c r="Q74" s="109" cm="1">
        <f t="array" aca="1" ref="Q74" ca="1">SUM(OFFSET(Q6,0,-(COLUMN()-1),1,COLUMN()-规则表!$C$17))-SUM(OFFSET(Q22,0,-(COLUMN()-1),1,COLUMN()))+SUM(OFFSET(Q38,0,-(COLUMN()-1),1,COLUMN()-规则表!$F$17))+SUMPRODUCT((IFERROR(OFFSET(Q38,0,-(规则表!$F$17-1),1,规则表!$F$17),0)&lt;0)*IFERROR(FFSET(Q38,0,-(规则表!$F$17-1),1,规则表!$F$17),0))</f>
        <v>0</v>
      </c>
      <c r="R74" s="115" cm="1">
        <f t="array" aca="1" ref="R74" ca="1">SUM(OFFSET(R6,0,-(COLUMN()-1),1,COLUMN()-规则表!$C$17))-SUM(OFFSET(R22,0,-(COLUMN()-1),1,COLUMN()))+SUM(OFFSET(R38,0,-(COLUMN()-1),1,COLUMN()-规则表!$F$17))+SUMPRODUCT((IFERROR(OFFSET(R38,0,-(规则表!$F$17-1),1,规则表!$F$17),0)&lt;0)*IFERROR(FFSET(R38,0,-(规则表!$F$17-1),1,规则表!$F$17),0))</f>
        <v>0</v>
      </c>
      <c r="S74" s="115" cm="1">
        <f t="array" aca="1" ref="S74" ca="1">SUM(OFFSET(S6,0,-(COLUMN()-1),1,COLUMN()-规则表!$C$17))-SUM(OFFSET(S22,0,-(COLUMN()-1),1,COLUMN()))+SUM(OFFSET(S38,0,-(COLUMN()-1),1,COLUMN()-规则表!$F$17))+SUMPRODUCT((IFERROR(OFFSET(S38,0,-(规则表!$F$17-1),1,规则表!$F$17),0)&lt;0)*IFERROR(FFSET(S38,0,-(规则表!$F$17-1),1,规则表!$F$17),0))</f>
        <v>0</v>
      </c>
      <c r="T74" s="116" cm="1">
        <f t="array" aca="1" ref="T74" ca="1">SUM(OFFSET(T6,0,-(COLUMN()-1),1,COLUMN()-规则表!$C$17))-SUM(OFFSET(T22,0,-(COLUMN()-1),1,COLUMN()))+SUM(OFFSET(T38,0,-(COLUMN()-1),1,COLUMN()-规则表!$F$17))+SUMPRODUCT((IFERROR(OFFSET(T38,0,-(规则表!$F$17-1),1,规则表!$F$17),0)&lt;0)*IFERROR(FFSET(T38,0,-(规则表!$F$17-1),1,规则表!$F$17),0))</f>
        <v>0</v>
      </c>
      <c r="U74" s="109" cm="1">
        <f t="array" aca="1" ref="U74" ca="1">SUM(OFFSET(U6,0,-(COLUMN()-1),1,COLUMN()-规则表!$C$17))-SUM(OFFSET(U22,0,-(COLUMN()-1),1,COLUMN()))+SUM(OFFSET(U38,0,-(COLUMN()-1),1,COLUMN()-规则表!$F$17))+SUMPRODUCT((IFERROR(OFFSET(U38,0,-(规则表!$F$17-1),1,规则表!$F$17),0)&lt;0)*IFERROR(FFSET(U38,0,-(规则表!$F$17-1),1,规则表!$F$17),0))</f>
        <v>0</v>
      </c>
      <c r="V74" s="115" cm="1">
        <f t="array" aca="1" ref="V74" ca="1">SUM(OFFSET(V6,0,-(COLUMN()-1),1,COLUMN()-规则表!$C$17))-SUM(OFFSET(V22,0,-(COLUMN()-1),1,COLUMN()))+SUM(OFFSET(V38,0,-(COLUMN()-1),1,COLUMN()-规则表!$F$17))+SUMPRODUCT((IFERROR(OFFSET(V38,0,-(规则表!$F$17-1),1,规则表!$F$17),0)&lt;0)*IFERROR(FFSET(V38,0,-(规则表!$F$17-1),1,规则表!$F$17),0))</f>
        <v>0</v>
      </c>
      <c r="W74" s="115" cm="1">
        <f t="array" aca="1" ref="W74" ca="1">SUM(OFFSET(W6,0,-(COLUMN()-1),1,COLUMN()-规则表!$C$17))-SUM(OFFSET(W22,0,-(COLUMN()-1),1,COLUMN()))+SUM(OFFSET(W38,0,-(COLUMN()-1),1,COLUMN()-规则表!$F$17))+SUMPRODUCT((IFERROR(OFFSET(W38,0,-(规则表!$F$17-1),1,规则表!$F$17),0)&lt;0)*IFERROR(FFSET(W38,0,-(规则表!$F$17-1),1,规则表!$F$17),0))</f>
        <v>0</v>
      </c>
      <c r="X74" s="116" cm="1">
        <f t="array" aca="1" ref="X74" ca="1">SUM(OFFSET(X6,0,-(COLUMN()-1),1,COLUMN()-规则表!$C$17))-SUM(OFFSET(X22,0,-(COLUMN()-1),1,COLUMN()))+SUM(OFFSET(X38,0,-(COLUMN()-1),1,COLUMN()-规则表!$F$17))+SUMPRODUCT((IFERROR(OFFSET(X38,0,-(规则表!$F$17-1),1,规则表!$F$17),0)&lt;0)*IFERROR(FFSET(X38,0,-(规则表!$F$17-1),1,规则表!$F$17),0))</f>
        <v>0</v>
      </c>
    </row>
    <row r="75" spans="1:24">
      <c r="A75" s="357"/>
      <c r="B75" s="356"/>
      <c r="C75" s="90" t="s">
        <v>191</v>
      </c>
      <c r="D75" s="91"/>
      <c r="E75" s="91"/>
      <c r="F75" s="91"/>
      <c r="G75" s="91"/>
      <c r="H75" s="91"/>
      <c r="I75" s="109" cm="1">
        <f t="array" aca="1" ref="I75" ca="1">SUM(OFFSET(I7,0,-(COLUMN()-1),1,COLUMN()-规则表!$C$17))-SUM(OFFSET(I23,0,-(COLUMN()-1),1,COLUMN()))+SUM(OFFSET(I39,0,-(COLUMN()-1),1,COLUMN()-规则表!$F$17))+SUMPRODUCT((IFERROR(OFFSET(I39,0,-(规则表!$F$17-1),1,规则表!$F$17),0)&lt;0)*IFERROR(FFSET(I39,0,-(规则表!$F$17-1),1,规则表!$F$17),0))</f>
        <v>10</v>
      </c>
      <c r="J75" s="115" cm="1">
        <f t="array" aca="1" ref="J75" ca="1">SUM(OFFSET(J7,0,-(COLUMN()-1),1,COLUMN()-规则表!$C$17))-SUM(OFFSET(J23,0,-(COLUMN()-1),1,COLUMN()))+SUM(OFFSET(J39,0,-(COLUMN()-1),1,COLUMN()-规则表!$F$17))+SUMPRODUCT((IFERROR(OFFSET(J39,0,-(规则表!$F$17-1),1,规则表!$F$17),0)&lt;0)*IFERROR(FFSET(J39,0,-(规则表!$F$17-1),1,规则表!$F$17),0))</f>
        <v>10</v>
      </c>
      <c r="K75" s="115" cm="1">
        <f t="array" aca="1" ref="K75" ca="1">SUM(OFFSET(K7,0,-(COLUMN()-1),1,COLUMN()-规则表!$C$17))-SUM(OFFSET(K23,0,-(COLUMN()-1),1,COLUMN()))+SUM(OFFSET(K39,0,-(COLUMN()-1),1,COLUMN()-规则表!$F$17))+SUMPRODUCT((IFERROR(OFFSET(K39,0,-(规则表!$F$17-1),1,规则表!$F$17),0)&lt;0)*IFERROR(FFSET(K39,0,-(规则表!$F$17-1),1,规则表!$F$17),0))</f>
        <v>10</v>
      </c>
      <c r="L75" s="116" cm="1">
        <f t="array" aca="1" ref="L75" ca="1">SUM(OFFSET(L7,0,-(COLUMN()-1),1,COLUMN()-规则表!$C$17))-SUM(OFFSET(L23,0,-(COLUMN()-1),1,COLUMN()))+SUM(OFFSET(L39,0,-(COLUMN()-1),1,COLUMN()-规则表!$F$17))+SUMPRODUCT((IFERROR(OFFSET(L39,0,-(规则表!$F$17-1),1,规则表!$F$17),0)&lt;0)*IFERROR(FFSET(L39,0,-(规则表!$F$17-1),1,规则表!$F$17),0))</f>
        <v>10</v>
      </c>
      <c r="M75" s="109" cm="1">
        <f t="array" aca="1" ref="M75" ca="1">SUM(OFFSET(M7,0,-(COLUMN()-1),1,COLUMN()-规则表!$C$17))-SUM(OFFSET(M23,0,-(COLUMN()-1),1,COLUMN()))+SUM(OFFSET(M39,0,-(COLUMN()-1),1,COLUMN()-规则表!$F$17))+SUMPRODUCT((IFERROR(OFFSET(M39,0,-(规则表!$F$17-1),1,规则表!$F$17),0)&lt;0)*IFERROR(FFSET(M39,0,-(规则表!$F$17-1),1,规则表!$F$17),0))</f>
        <v>10</v>
      </c>
      <c r="N75" s="115" cm="1">
        <f t="array" aca="1" ref="N75" ca="1">SUM(OFFSET(N7,0,-(COLUMN()-1),1,COLUMN()-规则表!$C$17))-SUM(OFFSET(N23,0,-(COLUMN()-1),1,COLUMN()))+SUM(OFFSET(N39,0,-(COLUMN()-1),1,COLUMN()-规则表!$F$17))+SUMPRODUCT((IFERROR(OFFSET(N39,0,-(规则表!$F$17-1),1,规则表!$F$17),0)&lt;0)*IFERROR(FFSET(N39,0,-(规则表!$F$17-1),1,规则表!$F$17),0))</f>
        <v>10</v>
      </c>
      <c r="O75" s="115" cm="1">
        <f t="array" aca="1" ref="O75" ca="1">SUM(OFFSET(O7,0,-(COLUMN()-1),1,COLUMN()-规则表!$C$17))-SUM(OFFSET(O23,0,-(COLUMN()-1),1,COLUMN()))+SUM(OFFSET(O39,0,-(COLUMN()-1),1,COLUMN()-规则表!$F$17))+SUMPRODUCT((IFERROR(OFFSET(O39,0,-(规则表!$F$17-1),1,规则表!$F$17),0)&lt;0)*IFERROR(FFSET(O39,0,-(规则表!$F$17-1),1,规则表!$F$17),0))</f>
        <v>10</v>
      </c>
      <c r="P75" s="116" cm="1">
        <f t="array" aca="1" ref="P75" ca="1">SUM(OFFSET(P7,0,-(COLUMN()-1),1,COLUMN()-规则表!$C$17))-SUM(OFFSET(P23,0,-(COLUMN()-1),1,COLUMN()))+SUM(OFFSET(P39,0,-(COLUMN()-1),1,COLUMN()-规则表!$F$17))+SUMPRODUCT((IFERROR(OFFSET(P39,0,-(规则表!$F$17-1),1,规则表!$F$17),0)&lt;0)*IFERROR(FFSET(P39,0,-(规则表!$F$17-1),1,规则表!$F$17),0))</f>
        <v>10</v>
      </c>
      <c r="Q75" s="109" cm="1">
        <f t="array" aca="1" ref="Q75" ca="1">SUM(OFFSET(Q7,0,-(COLUMN()-1),1,COLUMN()-规则表!$C$17))-SUM(OFFSET(Q23,0,-(COLUMN()-1),1,COLUMN()))+SUM(OFFSET(Q39,0,-(COLUMN()-1),1,COLUMN()-规则表!$F$17))+SUMPRODUCT((IFERROR(OFFSET(Q39,0,-(规则表!$F$17-1),1,规则表!$F$17),0)&lt;0)*IFERROR(FFSET(Q39,0,-(规则表!$F$17-1),1,规则表!$F$17),0))</f>
        <v>10</v>
      </c>
      <c r="R75" s="115" cm="1">
        <f t="array" aca="1" ref="R75" ca="1">SUM(OFFSET(R7,0,-(COLUMN()-1),1,COLUMN()-规则表!$C$17))-SUM(OFFSET(R23,0,-(COLUMN()-1),1,COLUMN()))+SUM(OFFSET(R39,0,-(COLUMN()-1),1,COLUMN()-规则表!$F$17))+SUMPRODUCT((IFERROR(OFFSET(R39,0,-(规则表!$F$17-1),1,规则表!$F$17),0)&lt;0)*IFERROR(FFSET(R39,0,-(规则表!$F$17-1),1,规则表!$F$17),0))</f>
        <v>10</v>
      </c>
      <c r="S75" s="115" cm="1">
        <f t="array" aca="1" ref="S75" ca="1">SUM(OFFSET(S7,0,-(COLUMN()-1),1,COLUMN()-规则表!$C$17))-SUM(OFFSET(S23,0,-(COLUMN()-1),1,COLUMN()))+SUM(OFFSET(S39,0,-(COLUMN()-1),1,COLUMN()-规则表!$F$17))+SUMPRODUCT((IFERROR(OFFSET(S39,0,-(规则表!$F$17-1),1,规则表!$F$17),0)&lt;0)*IFERROR(FFSET(S39,0,-(规则表!$F$17-1),1,规则表!$F$17),0))</f>
        <v>10</v>
      </c>
      <c r="T75" s="116" cm="1">
        <f t="array" aca="1" ref="T75" ca="1">SUM(OFFSET(T7,0,-(COLUMN()-1),1,COLUMN()-规则表!$C$17))-SUM(OFFSET(T23,0,-(COLUMN()-1),1,COLUMN()))+SUM(OFFSET(T39,0,-(COLUMN()-1),1,COLUMN()-规则表!$F$17))+SUMPRODUCT((IFERROR(OFFSET(T39,0,-(规则表!$F$17-1),1,规则表!$F$17),0)&lt;0)*IFERROR(FFSET(T39,0,-(规则表!$F$17-1),1,规则表!$F$17),0))</f>
        <v>10</v>
      </c>
      <c r="U75" s="109" cm="1">
        <f t="array" aca="1" ref="U75" ca="1">SUM(OFFSET(U7,0,-(COLUMN()-1),1,COLUMN()-规则表!$C$17))-SUM(OFFSET(U23,0,-(COLUMN()-1),1,COLUMN()))+SUM(OFFSET(U39,0,-(COLUMN()-1),1,COLUMN()-规则表!$F$17))+SUMPRODUCT((IFERROR(OFFSET(U39,0,-(规则表!$F$17-1),1,规则表!$F$17),0)&lt;0)*IFERROR(FFSET(U39,0,-(规则表!$F$17-1),1,规则表!$F$17),0))</f>
        <v>10</v>
      </c>
      <c r="V75" s="115" cm="1">
        <f t="array" aca="1" ref="V75" ca="1">SUM(OFFSET(V7,0,-(COLUMN()-1),1,COLUMN()-规则表!$C$17))-SUM(OFFSET(V23,0,-(COLUMN()-1),1,COLUMN()))+SUM(OFFSET(V39,0,-(COLUMN()-1),1,COLUMN()-规则表!$F$17))+SUMPRODUCT((IFERROR(OFFSET(V39,0,-(规则表!$F$17-1),1,规则表!$F$17),0)&lt;0)*IFERROR(FFSET(V39,0,-(规则表!$F$17-1),1,规则表!$F$17),0))</f>
        <v>10</v>
      </c>
      <c r="W75" s="115" cm="1">
        <f t="array" aca="1" ref="W75" ca="1">SUM(OFFSET(W7,0,-(COLUMN()-1),1,COLUMN()-规则表!$C$17))-SUM(OFFSET(W23,0,-(COLUMN()-1),1,COLUMN()))+SUM(OFFSET(W39,0,-(COLUMN()-1),1,COLUMN()-规则表!$F$17))+SUMPRODUCT((IFERROR(OFFSET(W39,0,-(规则表!$F$17-1),1,规则表!$F$17),0)&lt;0)*IFERROR(FFSET(W39,0,-(规则表!$F$17-1),1,规则表!$F$17),0))</f>
        <v>10</v>
      </c>
      <c r="X75" s="116" cm="1">
        <f t="array" aca="1" ref="X75" ca="1">SUM(OFFSET(X7,0,-(COLUMN()-1),1,COLUMN()-规则表!$C$17))-SUM(OFFSET(X23,0,-(COLUMN()-1),1,COLUMN()))+SUM(OFFSET(X39,0,-(COLUMN()-1),1,COLUMN()-规则表!$F$17))+SUMPRODUCT((IFERROR(OFFSET(X39,0,-(规则表!$F$17-1),1,规则表!$F$17),0)&lt;0)*IFERROR(FFSET(X39,0,-(规则表!$F$17-1),1,规则表!$F$17),0))</f>
        <v>10</v>
      </c>
    </row>
    <row r="76" spans="1:24">
      <c r="A76" s="357"/>
      <c r="B76" s="356"/>
      <c r="C76" s="90" t="s">
        <v>192</v>
      </c>
      <c r="D76" s="91"/>
      <c r="E76" s="91"/>
      <c r="F76" s="91"/>
      <c r="G76" s="91"/>
      <c r="H76" s="91"/>
      <c r="I76" s="110" cm="1">
        <f t="array" aca="1" ref="I76" ca="1">SUM(OFFSET(I8,0,-(COLUMN()-1),1,COLUMN()-规则表!$C$17))-SUM(OFFSET(I24,0,-(COLUMN()-1),1,COLUMN()))+SUM(OFFSET(I40,0,-(COLUMN()-1),1,COLUMN()-规则表!$F$17))+SUMPRODUCT((IFERROR(OFFSET(I40,0,-(规则表!$F$17-1),1,规则表!$F$17),0)&lt;0)*IFERROR(FFSET(I40,0,-(规则表!$F$17-1),1,规则表!$F$17),0))</f>
        <v>0</v>
      </c>
      <c r="J76" s="117" cm="1">
        <f t="array" aca="1" ref="J76" ca="1">SUM(OFFSET(J8,0,-(COLUMN()-1),1,COLUMN()-规则表!$C$17))-SUM(OFFSET(J24,0,-(COLUMN()-1),1,COLUMN()))+SUM(OFFSET(J40,0,-(COLUMN()-1),1,COLUMN()-规则表!$F$17))+SUMPRODUCT((IFERROR(OFFSET(J40,0,-(规则表!$F$17-1),1,规则表!$F$17),0)&lt;0)*IFERROR(FFSET(J40,0,-(规则表!$F$17-1),1,规则表!$F$17),0))</f>
        <v>0</v>
      </c>
      <c r="K76" s="117" cm="1">
        <f t="array" aca="1" ref="K76" ca="1">SUM(OFFSET(K8,0,-(COLUMN()-1),1,COLUMN()-规则表!$C$17))-SUM(OFFSET(K24,0,-(COLUMN()-1),1,COLUMN()))+SUM(OFFSET(K40,0,-(COLUMN()-1),1,COLUMN()-规则表!$F$17))+SUMPRODUCT((IFERROR(OFFSET(K40,0,-(规则表!$F$17-1),1,规则表!$F$17),0)&lt;0)*IFERROR(FFSET(K40,0,-(规则表!$F$17-1),1,规则表!$F$17),0))</f>
        <v>0</v>
      </c>
      <c r="L76" s="118" cm="1">
        <f t="array" aca="1" ref="L76" ca="1">SUM(OFFSET(L8,0,-(COLUMN()-1),1,COLUMN()-规则表!$C$17))-SUM(OFFSET(L24,0,-(COLUMN()-1),1,COLUMN()))+SUM(OFFSET(L40,0,-(COLUMN()-1),1,COLUMN()-规则表!$F$17))+SUMPRODUCT((IFERROR(OFFSET(L40,0,-(规则表!$F$17-1),1,规则表!$F$17),0)&lt;0)*IFERROR(FFSET(L40,0,-(规则表!$F$17-1),1,规则表!$F$17),0))</f>
        <v>0</v>
      </c>
      <c r="M76" s="110" cm="1">
        <f t="array" aca="1" ref="M76" ca="1">SUM(OFFSET(M8,0,-(COLUMN()-1),1,COLUMN()-规则表!$C$17))-SUM(OFFSET(M24,0,-(COLUMN()-1),1,COLUMN()))+SUM(OFFSET(M40,0,-(COLUMN()-1),1,COLUMN()-规则表!$F$17))+SUMPRODUCT((IFERROR(OFFSET(M40,0,-(规则表!$F$17-1),1,规则表!$F$17),0)&lt;0)*IFERROR(FFSET(M40,0,-(规则表!$F$17-1),1,规则表!$F$17),0))</f>
        <v>0</v>
      </c>
      <c r="N76" s="117" cm="1">
        <f t="array" aca="1" ref="N76" ca="1">SUM(OFFSET(N8,0,-(COLUMN()-1),1,COLUMN()-规则表!$C$17))-SUM(OFFSET(N24,0,-(COLUMN()-1),1,COLUMN()))+SUM(OFFSET(N40,0,-(COLUMN()-1),1,COLUMN()-规则表!$F$17))+SUMPRODUCT((IFERROR(OFFSET(N40,0,-(规则表!$F$17-1),1,规则表!$F$17),0)&lt;0)*IFERROR(FFSET(N40,0,-(规则表!$F$17-1),1,规则表!$F$17),0))</f>
        <v>0</v>
      </c>
      <c r="O76" s="117" cm="1">
        <f t="array" aca="1" ref="O76" ca="1">SUM(OFFSET(O8,0,-(COLUMN()-1),1,COLUMN()-规则表!$C$17))-SUM(OFFSET(O24,0,-(COLUMN()-1),1,COLUMN()))+SUM(OFFSET(O40,0,-(COLUMN()-1),1,COLUMN()-规则表!$F$17))+SUMPRODUCT((IFERROR(OFFSET(O40,0,-(规则表!$F$17-1),1,规则表!$F$17),0)&lt;0)*IFERROR(FFSET(O40,0,-(规则表!$F$17-1),1,规则表!$F$17),0))</f>
        <v>0</v>
      </c>
      <c r="P76" s="118" cm="1">
        <f t="array" aca="1" ref="P76" ca="1">SUM(OFFSET(P8,0,-(COLUMN()-1),1,COLUMN()-规则表!$C$17))-SUM(OFFSET(P24,0,-(COLUMN()-1),1,COLUMN()))+SUM(OFFSET(P40,0,-(COLUMN()-1),1,COLUMN()-规则表!$F$17))+SUMPRODUCT((IFERROR(OFFSET(P40,0,-(规则表!$F$17-1),1,规则表!$F$17),0)&lt;0)*IFERROR(FFSET(P40,0,-(规则表!$F$17-1),1,规则表!$F$17),0))</f>
        <v>0</v>
      </c>
      <c r="Q76" s="110" cm="1">
        <f t="array" aca="1" ref="Q76" ca="1">SUM(OFFSET(Q8,0,-(COLUMN()-1),1,COLUMN()-规则表!$C$17))-SUM(OFFSET(Q24,0,-(COLUMN()-1),1,COLUMN()))+SUM(OFFSET(Q40,0,-(COLUMN()-1),1,COLUMN()-规则表!$F$17))+SUMPRODUCT((IFERROR(OFFSET(Q40,0,-(规则表!$F$17-1),1,规则表!$F$17),0)&lt;0)*IFERROR(FFSET(Q40,0,-(规则表!$F$17-1),1,规则表!$F$17),0))</f>
        <v>0</v>
      </c>
      <c r="R76" s="117" cm="1">
        <f t="array" aca="1" ref="R76" ca="1">SUM(OFFSET(R8,0,-(COLUMN()-1),1,COLUMN()-规则表!$C$17))-SUM(OFFSET(R24,0,-(COLUMN()-1),1,COLUMN()))+SUM(OFFSET(R40,0,-(COLUMN()-1),1,COLUMN()-规则表!$F$17))+SUMPRODUCT((IFERROR(OFFSET(R40,0,-(规则表!$F$17-1),1,规则表!$F$17),0)&lt;0)*IFERROR(FFSET(R40,0,-(规则表!$F$17-1),1,规则表!$F$17),0))</f>
        <v>0</v>
      </c>
      <c r="S76" s="117" cm="1">
        <f t="array" aca="1" ref="S76" ca="1">SUM(OFFSET(S8,0,-(COLUMN()-1),1,COLUMN()-规则表!$C$17))-SUM(OFFSET(S24,0,-(COLUMN()-1),1,COLUMN()))+SUM(OFFSET(S40,0,-(COLUMN()-1),1,COLUMN()-规则表!$F$17))+SUMPRODUCT((IFERROR(OFFSET(S40,0,-(规则表!$F$17-1),1,规则表!$F$17),0)&lt;0)*IFERROR(FFSET(S40,0,-(规则表!$F$17-1),1,规则表!$F$17),0))</f>
        <v>0</v>
      </c>
      <c r="T76" s="118" cm="1">
        <f t="array" aca="1" ref="T76" ca="1">SUM(OFFSET(T8,0,-(COLUMN()-1),1,COLUMN()-规则表!$C$17))-SUM(OFFSET(T24,0,-(COLUMN()-1),1,COLUMN()))+SUM(OFFSET(T40,0,-(COLUMN()-1),1,COLUMN()-规则表!$F$17))+SUMPRODUCT((IFERROR(OFFSET(T40,0,-(规则表!$F$17-1),1,规则表!$F$17),0)&lt;0)*IFERROR(FFSET(T40,0,-(规则表!$F$17-1),1,规则表!$F$17),0))</f>
        <v>0</v>
      </c>
      <c r="U76" s="110" cm="1">
        <f t="array" aca="1" ref="U76" ca="1">SUM(OFFSET(U8,0,-(COLUMN()-1),1,COLUMN()-规则表!$C$17))-SUM(OFFSET(U24,0,-(COLUMN()-1),1,COLUMN()))+SUM(OFFSET(U40,0,-(COLUMN()-1),1,COLUMN()-规则表!$F$17))+SUMPRODUCT((IFERROR(OFFSET(U40,0,-(规则表!$F$17-1),1,规则表!$F$17),0)&lt;0)*IFERROR(FFSET(U40,0,-(规则表!$F$17-1),1,规则表!$F$17),0))</f>
        <v>0</v>
      </c>
      <c r="V76" s="117" cm="1">
        <f t="array" aca="1" ref="V76" ca="1">SUM(OFFSET(V8,0,-(COLUMN()-1),1,COLUMN()-规则表!$C$17))-SUM(OFFSET(V24,0,-(COLUMN()-1),1,COLUMN()))+SUM(OFFSET(V40,0,-(COLUMN()-1),1,COLUMN()-规则表!$F$17))+SUMPRODUCT((IFERROR(OFFSET(V40,0,-(规则表!$F$17-1),1,规则表!$F$17),0)&lt;0)*IFERROR(FFSET(V40,0,-(规则表!$F$17-1),1,规则表!$F$17),0))</f>
        <v>0</v>
      </c>
      <c r="W76" s="117" cm="1">
        <f t="array" aca="1" ref="W76" ca="1">SUM(OFFSET(W8,0,-(COLUMN()-1),1,COLUMN()-规则表!$C$17))-SUM(OFFSET(W24,0,-(COLUMN()-1),1,COLUMN()))+SUM(OFFSET(W40,0,-(COLUMN()-1),1,COLUMN()-规则表!$F$17))+SUMPRODUCT((IFERROR(OFFSET(W40,0,-(规则表!$F$17-1),1,规则表!$F$17),0)&lt;0)*IFERROR(FFSET(W40,0,-(规则表!$F$17-1),1,规则表!$F$17),0))</f>
        <v>0</v>
      </c>
      <c r="X76" s="118" cm="1">
        <f t="array" aca="1" ref="X76" ca="1">SUM(OFFSET(X8,0,-(COLUMN()-1),1,COLUMN()-规则表!$C$17))-SUM(OFFSET(X24,0,-(COLUMN()-1),1,COLUMN()))+SUM(OFFSET(X40,0,-(COLUMN()-1),1,COLUMN()-规则表!$F$17))+SUMPRODUCT((IFERROR(OFFSET(X40,0,-(规则表!$F$17-1),1,规则表!$F$17),0)&lt;0)*IFERROR(FFSET(X40,0,-(规则表!$F$17-1),1,规则表!$F$17),0))</f>
        <v>0</v>
      </c>
    </row>
    <row r="77" spans="1:24">
      <c r="A77" s="357"/>
      <c r="B77" s="356" t="s">
        <v>36</v>
      </c>
      <c r="C77" s="90" t="s">
        <v>188</v>
      </c>
      <c r="D77" s="91"/>
      <c r="E77" s="91"/>
      <c r="F77" s="91"/>
      <c r="G77" s="91"/>
      <c r="H77" s="91"/>
      <c r="I77" s="108" cm="1">
        <f t="array" aca="1" ref="I77" ca="1">SUM(OFFSET(I9,0,-(COLUMN()-1),1,COLUMN()-规则表!$C$18))-SUM(OFFSET(I25,0,-(COLUMN()-1),1,COLUMN()))+SUM(OFFSET(I41,0,-(COLUMN()-1),1,COLUMN()-规则表!$F$18))+SUMPRODUCT((IFERROR(OFFSET(I41,0,-(规则表!$F$18-1),1,规则表!$F$18),0)&lt;0)*IFERROR(FFSET(I41,0,-(规则表!$F$18-1),1,规则表!$F$18),0))</f>
        <v>0</v>
      </c>
      <c r="J77" s="112" cm="1">
        <f t="array" aca="1" ref="J77" ca="1">SUM(OFFSET(J9,0,-(COLUMN()-1),1,COLUMN()-规则表!$C$18))-SUM(OFFSET(J25,0,-(COLUMN()-1),1,COLUMN()))+SUM(OFFSET(J41,0,-(COLUMN()-1),1,COLUMN()-规则表!$F$18))+SUMPRODUCT((IFERROR(OFFSET(J41,0,-(规则表!$F$18-1),1,规则表!$F$18),0)&lt;0)*IFERROR(FFSET(J41,0,-(规则表!$F$18-1),1,规则表!$F$18),0))</f>
        <v>0</v>
      </c>
      <c r="K77" s="112" cm="1">
        <f t="array" aca="1" ref="K77" ca="1">SUM(OFFSET(K9,0,-(COLUMN()-1),1,COLUMN()-规则表!$C$18))-SUM(OFFSET(K25,0,-(COLUMN()-1),1,COLUMN()))+SUM(OFFSET(K41,0,-(COLUMN()-1),1,COLUMN()-规则表!$F$18))+SUMPRODUCT((IFERROR(OFFSET(K41,0,-(规则表!$F$18-1),1,规则表!$F$18),0)&lt;0)*IFERROR(FFSET(K41,0,-(规则表!$F$18-1),1,规则表!$F$18),0))</f>
        <v>0</v>
      </c>
      <c r="L77" s="113" cm="1">
        <f t="array" aca="1" ref="L77" ca="1">SUM(OFFSET(L9,0,-(COLUMN()-1),1,COLUMN()-规则表!$C$18))-SUM(OFFSET(L25,0,-(COLUMN()-1),1,COLUMN()))+SUM(OFFSET(L41,0,-(COLUMN()-1),1,COLUMN()-规则表!$F$18))+SUMPRODUCT((IFERROR(OFFSET(L41,0,-(规则表!$F$18-1),1,规则表!$F$18),0)&lt;0)*IFERROR(FFSET(L41,0,-(规则表!$F$18-1),1,规则表!$F$18),0))</f>
        <v>0</v>
      </c>
      <c r="M77" s="108" cm="1">
        <f t="array" aca="1" ref="M77" ca="1">SUM(OFFSET(M9,0,-(COLUMN()-1),1,COLUMN()-规则表!$C$18))-SUM(OFFSET(M25,0,-(COLUMN()-1),1,COLUMN()))+SUM(OFFSET(M41,0,-(COLUMN()-1),1,COLUMN()-规则表!$F$18))+SUMPRODUCT((IFERROR(OFFSET(M41,0,-(规则表!$F$18-1),1,规则表!$F$18),0)&lt;0)*IFERROR(FFSET(M41,0,-(规则表!$F$18-1),1,规则表!$F$18),0))</f>
        <v>0</v>
      </c>
      <c r="N77" s="112" cm="1">
        <f t="array" aca="1" ref="N77" ca="1">SUM(OFFSET(N9,0,-(COLUMN()-1),1,COLUMN()-规则表!$C$18))-SUM(OFFSET(N25,0,-(COLUMN()-1),1,COLUMN()))+SUM(OFFSET(N41,0,-(COLUMN()-1),1,COLUMN()-规则表!$F$18))+SUMPRODUCT((IFERROR(OFFSET(N41,0,-(规则表!$F$18-1),1,规则表!$F$18),0)&lt;0)*IFERROR(FFSET(N41,0,-(规则表!$F$18-1),1,规则表!$F$18),0))</f>
        <v>0</v>
      </c>
      <c r="O77" s="112" cm="1">
        <f t="array" aca="1" ref="O77" ca="1">SUM(OFFSET(O9,0,-(COLUMN()-1),1,COLUMN()-规则表!$C$18))-SUM(OFFSET(O25,0,-(COLUMN()-1),1,COLUMN()))+SUM(OFFSET(O41,0,-(COLUMN()-1),1,COLUMN()-规则表!$F$18))+SUMPRODUCT((IFERROR(OFFSET(O41,0,-(规则表!$F$18-1),1,规则表!$F$18),0)&lt;0)*IFERROR(FFSET(O41,0,-(规则表!$F$18-1),1,规则表!$F$18),0))</f>
        <v>0</v>
      </c>
      <c r="P77" s="113" cm="1">
        <f t="array" aca="1" ref="P77" ca="1">SUM(OFFSET(P9,0,-(COLUMN()-1),1,COLUMN()-规则表!$C$18))-SUM(OFFSET(P25,0,-(COLUMN()-1),1,COLUMN()))+SUM(OFFSET(P41,0,-(COLUMN()-1),1,COLUMN()-规则表!$F$18))+SUMPRODUCT((IFERROR(OFFSET(P41,0,-(规则表!$F$18-1),1,规则表!$F$18),0)&lt;0)*IFERROR(FFSET(P41,0,-(规则表!$F$18-1),1,规则表!$F$18),0))</f>
        <v>0</v>
      </c>
      <c r="Q77" s="108" cm="1">
        <f t="array" aca="1" ref="Q77" ca="1">SUM(OFFSET(Q9,0,-(COLUMN()-1),1,COLUMN()-规则表!$C$18))-SUM(OFFSET(Q25,0,-(COLUMN()-1),1,COLUMN()))+SUM(OFFSET(Q41,0,-(COLUMN()-1),1,COLUMN()-规则表!$F$18))+SUMPRODUCT((IFERROR(OFFSET(Q41,0,-(规则表!$F$18-1),1,规则表!$F$18),0)&lt;0)*IFERROR(FFSET(Q41,0,-(规则表!$F$18-1),1,规则表!$F$18),0))</f>
        <v>0</v>
      </c>
      <c r="R77" s="112" cm="1">
        <f t="array" aca="1" ref="R77" ca="1">SUM(OFFSET(R9,0,-(COLUMN()-1),1,COLUMN()-规则表!$C$18))-SUM(OFFSET(R25,0,-(COLUMN()-1),1,COLUMN()))+SUM(OFFSET(R41,0,-(COLUMN()-1),1,COLUMN()-规则表!$F$18))+SUMPRODUCT((IFERROR(OFFSET(R41,0,-(规则表!$F$18-1),1,规则表!$F$18),0)&lt;0)*IFERROR(FFSET(R41,0,-(规则表!$F$18-1),1,规则表!$F$18),0))</f>
        <v>0</v>
      </c>
      <c r="S77" s="112" cm="1">
        <f t="array" aca="1" ref="S77" ca="1">SUM(OFFSET(S9,0,-(COLUMN()-1),1,COLUMN()-规则表!$C$18))-SUM(OFFSET(S25,0,-(COLUMN()-1),1,COLUMN()))+SUM(OFFSET(S41,0,-(COLUMN()-1),1,COLUMN()-规则表!$F$18))+SUMPRODUCT((IFERROR(OFFSET(S41,0,-(规则表!$F$18-1),1,规则表!$F$18),0)&lt;0)*IFERROR(FFSET(S41,0,-(规则表!$F$18-1),1,规则表!$F$18),0))</f>
        <v>0</v>
      </c>
      <c r="T77" s="113" cm="1">
        <f t="array" aca="1" ref="T77" ca="1">SUM(OFFSET(T9,0,-(COLUMN()-1),1,COLUMN()-规则表!$C$18))-SUM(OFFSET(T25,0,-(COLUMN()-1),1,COLUMN()))+SUM(OFFSET(T41,0,-(COLUMN()-1),1,COLUMN()-规则表!$F$18))+SUMPRODUCT((IFERROR(OFFSET(T41,0,-(规则表!$F$18-1),1,规则表!$F$18),0)&lt;0)*IFERROR(FFSET(T41,0,-(规则表!$F$18-1),1,规则表!$F$18),0))</f>
        <v>0</v>
      </c>
      <c r="U77" s="108" cm="1">
        <f t="array" aca="1" ref="U77" ca="1">SUM(OFFSET(U9,0,-(COLUMN()-1),1,COLUMN()-规则表!$C$18))-SUM(OFFSET(U25,0,-(COLUMN()-1),1,COLUMN()))+SUM(OFFSET(U41,0,-(COLUMN()-1),1,COLUMN()-规则表!$F$18))+SUMPRODUCT((IFERROR(OFFSET(U41,0,-(规则表!$F$18-1),1,规则表!$F$18),0)&lt;0)*IFERROR(FFSET(U41,0,-(规则表!$F$18-1),1,规则表!$F$18),0))</f>
        <v>0</v>
      </c>
      <c r="V77" s="112" cm="1">
        <f t="array" aca="1" ref="V77" ca="1">SUM(OFFSET(V9,0,-(COLUMN()-1),1,COLUMN()-规则表!$C$18))-SUM(OFFSET(V25,0,-(COLUMN()-1),1,COLUMN()))+SUM(OFFSET(V41,0,-(COLUMN()-1),1,COLUMN()-规则表!$F$18))+SUMPRODUCT((IFERROR(OFFSET(V41,0,-(规则表!$F$18-1),1,规则表!$F$18),0)&lt;0)*IFERROR(FFSET(V41,0,-(规则表!$F$18-1),1,规则表!$F$18),0))</f>
        <v>0</v>
      </c>
      <c r="W77" s="112" cm="1">
        <f t="array" aca="1" ref="W77" ca="1">SUM(OFFSET(W9,0,-(COLUMN()-1),1,COLUMN()-规则表!$C$18))-SUM(OFFSET(W25,0,-(COLUMN()-1),1,COLUMN()))+SUM(OFFSET(W41,0,-(COLUMN()-1),1,COLUMN()-规则表!$F$18))+SUMPRODUCT((IFERROR(OFFSET(W41,0,-(规则表!$F$18-1),1,规则表!$F$18),0)&lt;0)*IFERROR(FFSET(W41,0,-(规则表!$F$18-1),1,规则表!$F$18),0))</f>
        <v>0</v>
      </c>
      <c r="X77" s="113" cm="1">
        <f t="array" aca="1" ref="X77" ca="1">SUM(OFFSET(X9,0,-(COLUMN()-1),1,COLUMN()-规则表!$C$18))-SUM(OFFSET(X25,0,-(COLUMN()-1),1,COLUMN()))+SUM(OFFSET(X41,0,-(COLUMN()-1),1,COLUMN()-规则表!$F$18))+SUMPRODUCT((IFERROR(OFFSET(X41,0,-(规则表!$F$18-1),1,规则表!$F$18),0)&lt;0)*IFERROR(FFSET(X41,0,-(规则表!$F$18-1),1,规则表!$F$18),0))</f>
        <v>0</v>
      </c>
    </row>
    <row r="78" spans="1:24">
      <c r="A78" s="357"/>
      <c r="B78" s="356"/>
      <c r="C78" s="90" t="s">
        <v>189</v>
      </c>
      <c r="D78" s="91"/>
      <c r="E78" s="91"/>
      <c r="F78" s="91"/>
      <c r="G78" s="91"/>
      <c r="H78" s="91"/>
      <c r="I78" s="109" cm="1">
        <f t="array" aca="1" ref="I78" ca="1">SUM(OFFSET(I10,0,-(COLUMN()-1),1,COLUMN()-规则表!$C$18))-SUM(OFFSET(I26,0,-(COLUMN()-1),1,COLUMN()))+SUM(OFFSET(I42,0,-(COLUMN()-1),1,COLUMN()-规则表!$F$18))+SUMPRODUCT((IFERROR(OFFSET(I42,0,-(规则表!$F$18-1),1,规则表!$F$18),0)&lt;0)*IFERROR(FFSET(I42,0,-(规则表!$F$18-1),1,规则表!$F$18),0))</f>
        <v>0</v>
      </c>
      <c r="J78" s="115" cm="1">
        <f t="array" aca="1" ref="J78" ca="1">SUM(OFFSET(J10,0,-(COLUMN()-1),1,COLUMN()-规则表!$C$18))-SUM(OFFSET(J26,0,-(COLUMN()-1),1,COLUMN()))+SUM(OFFSET(J42,0,-(COLUMN()-1),1,COLUMN()-规则表!$F$18))+SUMPRODUCT((IFERROR(OFFSET(J42,0,-(规则表!$F$18-1),1,规则表!$F$18),0)&lt;0)*IFERROR(FFSET(J42,0,-(规则表!$F$18-1),1,规则表!$F$18),0))</f>
        <v>0</v>
      </c>
      <c r="K78" s="115" cm="1">
        <f t="array" aca="1" ref="K78" ca="1">SUM(OFFSET(K10,0,-(COLUMN()-1),1,COLUMN()-规则表!$C$18))-SUM(OFFSET(K26,0,-(COLUMN()-1),1,COLUMN()))+SUM(OFFSET(K42,0,-(COLUMN()-1),1,COLUMN()-规则表!$F$18))+SUMPRODUCT((IFERROR(OFFSET(K42,0,-(规则表!$F$18-1),1,规则表!$F$18),0)&lt;0)*IFERROR(FFSET(K42,0,-(规则表!$F$18-1),1,规则表!$F$18),0))</f>
        <v>0</v>
      </c>
      <c r="L78" s="116" cm="1">
        <f t="array" aca="1" ref="L78" ca="1">SUM(OFFSET(L10,0,-(COLUMN()-1),1,COLUMN()-规则表!$C$18))-SUM(OFFSET(L26,0,-(COLUMN()-1),1,COLUMN()))+SUM(OFFSET(L42,0,-(COLUMN()-1),1,COLUMN()-规则表!$F$18))+SUMPRODUCT((IFERROR(OFFSET(L42,0,-(规则表!$F$18-1),1,规则表!$F$18),0)&lt;0)*IFERROR(FFSET(L42,0,-(规则表!$F$18-1),1,规则表!$F$18),0))</f>
        <v>0</v>
      </c>
      <c r="M78" s="109" cm="1">
        <f t="array" aca="1" ref="M78" ca="1">SUM(OFFSET(M10,0,-(COLUMN()-1),1,COLUMN()-规则表!$C$18))-SUM(OFFSET(M26,0,-(COLUMN()-1),1,COLUMN()))+SUM(OFFSET(M42,0,-(COLUMN()-1),1,COLUMN()-规则表!$F$18))+SUMPRODUCT((IFERROR(OFFSET(M42,0,-(规则表!$F$18-1),1,规则表!$F$18),0)&lt;0)*IFERROR(FFSET(M42,0,-(规则表!$F$18-1),1,规则表!$F$18),0))</f>
        <v>0</v>
      </c>
      <c r="N78" s="115" cm="1">
        <f t="array" aca="1" ref="N78" ca="1">SUM(OFFSET(N10,0,-(COLUMN()-1),1,COLUMN()-规则表!$C$18))-SUM(OFFSET(N26,0,-(COLUMN()-1),1,COLUMN()))+SUM(OFFSET(N42,0,-(COLUMN()-1),1,COLUMN()-规则表!$F$18))+SUMPRODUCT((IFERROR(OFFSET(N42,0,-(规则表!$F$18-1),1,规则表!$F$18),0)&lt;0)*IFERROR(FFSET(N42,0,-(规则表!$F$18-1),1,规则表!$F$18),0))</f>
        <v>0</v>
      </c>
      <c r="O78" s="115" cm="1">
        <f t="array" aca="1" ref="O78" ca="1">SUM(OFFSET(O10,0,-(COLUMN()-1),1,COLUMN()-规则表!$C$18))-SUM(OFFSET(O26,0,-(COLUMN()-1),1,COLUMN()))+SUM(OFFSET(O42,0,-(COLUMN()-1),1,COLUMN()-规则表!$F$18))+SUMPRODUCT((IFERROR(OFFSET(O42,0,-(规则表!$F$18-1),1,规则表!$F$18),0)&lt;0)*IFERROR(FFSET(O42,0,-(规则表!$F$18-1),1,规则表!$F$18),0))</f>
        <v>0</v>
      </c>
      <c r="P78" s="116" cm="1">
        <f t="array" aca="1" ref="P78" ca="1">SUM(OFFSET(P10,0,-(COLUMN()-1),1,COLUMN()-规则表!$C$18))-SUM(OFFSET(P26,0,-(COLUMN()-1),1,COLUMN()))+SUM(OFFSET(P42,0,-(COLUMN()-1),1,COLUMN()-规则表!$F$18))+SUMPRODUCT((IFERROR(OFFSET(P42,0,-(规则表!$F$18-1),1,规则表!$F$18),0)&lt;0)*IFERROR(FFSET(P42,0,-(规则表!$F$18-1),1,规则表!$F$18),0))</f>
        <v>0</v>
      </c>
      <c r="Q78" s="109" cm="1">
        <f t="array" aca="1" ref="Q78" ca="1">SUM(OFFSET(Q10,0,-(COLUMN()-1),1,COLUMN()-规则表!$C$18))-SUM(OFFSET(Q26,0,-(COLUMN()-1),1,COLUMN()))+SUM(OFFSET(Q42,0,-(COLUMN()-1),1,COLUMN()-规则表!$F$18))+SUMPRODUCT((IFERROR(OFFSET(Q42,0,-(规则表!$F$18-1),1,规则表!$F$18),0)&lt;0)*IFERROR(FFSET(Q42,0,-(规则表!$F$18-1),1,规则表!$F$18),0))</f>
        <v>0</v>
      </c>
      <c r="R78" s="115" cm="1">
        <f t="array" aca="1" ref="R78" ca="1">SUM(OFFSET(R10,0,-(COLUMN()-1),1,COLUMN()-规则表!$C$18))-SUM(OFFSET(R26,0,-(COLUMN()-1),1,COLUMN()))+SUM(OFFSET(R42,0,-(COLUMN()-1),1,COLUMN()-规则表!$F$18))+SUMPRODUCT((IFERROR(OFFSET(R42,0,-(规则表!$F$18-1),1,规则表!$F$18),0)&lt;0)*IFERROR(FFSET(R42,0,-(规则表!$F$18-1),1,规则表!$F$18),0))</f>
        <v>0</v>
      </c>
      <c r="S78" s="115" cm="1">
        <f t="array" aca="1" ref="S78" ca="1">SUM(OFFSET(S10,0,-(COLUMN()-1),1,COLUMN()-规则表!$C$18))-SUM(OFFSET(S26,0,-(COLUMN()-1),1,COLUMN()))+SUM(OFFSET(S42,0,-(COLUMN()-1),1,COLUMN()-规则表!$F$18))+SUMPRODUCT((IFERROR(OFFSET(S42,0,-(规则表!$F$18-1),1,规则表!$F$18),0)&lt;0)*IFERROR(FFSET(S42,0,-(规则表!$F$18-1),1,规则表!$F$18),0))</f>
        <v>0</v>
      </c>
      <c r="T78" s="116" cm="1">
        <f t="array" aca="1" ref="T78" ca="1">SUM(OFFSET(T10,0,-(COLUMN()-1),1,COLUMN()-规则表!$C$18))-SUM(OFFSET(T26,0,-(COLUMN()-1),1,COLUMN()))+SUM(OFFSET(T42,0,-(COLUMN()-1),1,COLUMN()-规则表!$F$18))+SUMPRODUCT((IFERROR(OFFSET(T42,0,-(规则表!$F$18-1),1,规则表!$F$18),0)&lt;0)*IFERROR(FFSET(T42,0,-(规则表!$F$18-1),1,规则表!$F$18),0))</f>
        <v>0</v>
      </c>
      <c r="U78" s="109" cm="1">
        <f t="array" aca="1" ref="U78" ca="1">SUM(OFFSET(U10,0,-(COLUMN()-1),1,COLUMN()-规则表!$C$18))-SUM(OFFSET(U26,0,-(COLUMN()-1),1,COLUMN()))+SUM(OFFSET(U42,0,-(COLUMN()-1),1,COLUMN()-规则表!$F$18))+SUMPRODUCT((IFERROR(OFFSET(U42,0,-(规则表!$F$18-1),1,规则表!$F$18),0)&lt;0)*IFERROR(FFSET(U42,0,-(规则表!$F$18-1),1,规则表!$F$18),0))</f>
        <v>0</v>
      </c>
      <c r="V78" s="115" cm="1">
        <f t="array" aca="1" ref="V78" ca="1">SUM(OFFSET(V10,0,-(COLUMN()-1),1,COLUMN()-规则表!$C$18))-SUM(OFFSET(V26,0,-(COLUMN()-1),1,COLUMN()))+SUM(OFFSET(V42,0,-(COLUMN()-1),1,COLUMN()-规则表!$F$18))+SUMPRODUCT((IFERROR(OFFSET(V42,0,-(规则表!$F$18-1),1,规则表!$F$18),0)&lt;0)*IFERROR(FFSET(V42,0,-(规则表!$F$18-1),1,规则表!$F$18),0))</f>
        <v>0</v>
      </c>
      <c r="W78" s="115" cm="1">
        <f t="array" aca="1" ref="W78" ca="1">SUM(OFFSET(W10,0,-(COLUMN()-1),1,COLUMN()-规则表!$C$18))-SUM(OFFSET(W26,0,-(COLUMN()-1),1,COLUMN()))+SUM(OFFSET(W42,0,-(COLUMN()-1),1,COLUMN()-规则表!$F$18))+SUMPRODUCT((IFERROR(OFFSET(W42,0,-(规则表!$F$18-1),1,规则表!$F$18),0)&lt;0)*IFERROR(FFSET(W42,0,-(规则表!$F$18-1),1,规则表!$F$18),0))</f>
        <v>0</v>
      </c>
      <c r="X78" s="116" cm="1">
        <f t="array" aca="1" ref="X78" ca="1">SUM(OFFSET(X10,0,-(COLUMN()-1),1,COLUMN()-规则表!$C$18))-SUM(OFFSET(X26,0,-(COLUMN()-1),1,COLUMN()))+SUM(OFFSET(X42,0,-(COLUMN()-1),1,COLUMN()-规则表!$F$18))+SUMPRODUCT((IFERROR(OFFSET(X42,0,-(规则表!$F$18-1),1,规则表!$F$18),0)&lt;0)*IFERROR(FFSET(X42,0,-(规则表!$F$18-1),1,规则表!$F$18),0))</f>
        <v>0</v>
      </c>
    </row>
    <row r="79" spans="1:24">
      <c r="A79" s="357"/>
      <c r="B79" s="356"/>
      <c r="C79" s="90" t="s">
        <v>190</v>
      </c>
      <c r="D79" s="91"/>
      <c r="E79" s="91"/>
      <c r="F79" s="91"/>
      <c r="G79" s="91"/>
      <c r="H79" s="91"/>
      <c r="I79" s="109" cm="1">
        <f t="array" aca="1" ref="I79" ca="1">SUM(OFFSET(I11,0,-(COLUMN()-1),1,COLUMN()-规则表!$C$18))-SUM(OFFSET(I27,0,-(COLUMN()-1),1,COLUMN()))+SUM(OFFSET(I43,0,-(COLUMN()-1),1,COLUMN()-规则表!$F$18))+SUMPRODUCT((IFERROR(OFFSET(I43,0,-(规则表!$F$18-1),1,规则表!$F$18),0)&lt;0)*IFERROR(FFSET(I43,0,-(规则表!$F$18-1),1,规则表!$F$18),0))</f>
        <v>0</v>
      </c>
      <c r="J79" s="115" cm="1">
        <f t="array" aca="1" ref="J79" ca="1">SUM(OFFSET(J11,0,-(COLUMN()-1),1,COLUMN()-规则表!$C$18))-SUM(OFFSET(J27,0,-(COLUMN()-1),1,COLUMN()))+SUM(OFFSET(J43,0,-(COLUMN()-1),1,COLUMN()-规则表!$F$18))+SUMPRODUCT((IFERROR(OFFSET(J43,0,-(规则表!$F$18-1),1,规则表!$F$18),0)&lt;0)*IFERROR(FFSET(J43,0,-(规则表!$F$18-1),1,规则表!$F$18),0))</f>
        <v>0</v>
      </c>
      <c r="K79" s="115" cm="1">
        <f t="array" aca="1" ref="K79" ca="1">SUM(OFFSET(K11,0,-(COLUMN()-1),1,COLUMN()-规则表!$C$18))-SUM(OFFSET(K27,0,-(COLUMN()-1),1,COLUMN()))+SUM(OFFSET(K43,0,-(COLUMN()-1),1,COLUMN()-规则表!$F$18))+SUMPRODUCT((IFERROR(OFFSET(K43,0,-(规则表!$F$18-1),1,规则表!$F$18),0)&lt;0)*IFERROR(FFSET(K43,0,-(规则表!$F$18-1),1,规则表!$F$18),0))</f>
        <v>0</v>
      </c>
      <c r="L79" s="116" cm="1">
        <f t="array" aca="1" ref="L79" ca="1">SUM(OFFSET(L11,0,-(COLUMN()-1),1,COLUMN()-规则表!$C$18))-SUM(OFFSET(L27,0,-(COLUMN()-1),1,COLUMN()))+SUM(OFFSET(L43,0,-(COLUMN()-1),1,COLUMN()-规则表!$F$18))+SUMPRODUCT((IFERROR(OFFSET(L43,0,-(规则表!$F$18-1),1,规则表!$F$18),0)&lt;0)*IFERROR(FFSET(L43,0,-(规则表!$F$18-1),1,规则表!$F$18),0))</f>
        <v>0</v>
      </c>
      <c r="M79" s="109" cm="1">
        <f t="array" aca="1" ref="M79" ca="1">SUM(OFFSET(M11,0,-(COLUMN()-1),1,COLUMN()-规则表!$C$18))-SUM(OFFSET(M27,0,-(COLUMN()-1),1,COLUMN()))+SUM(OFFSET(M43,0,-(COLUMN()-1),1,COLUMN()-规则表!$F$18))+SUMPRODUCT((IFERROR(OFFSET(M43,0,-(规则表!$F$18-1),1,规则表!$F$18),0)&lt;0)*IFERROR(FFSET(M43,0,-(规则表!$F$18-1),1,规则表!$F$18),0))</f>
        <v>0</v>
      </c>
      <c r="N79" s="115" cm="1">
        <f t="array" aca="1" ref="N79" ca="1">SUM(OFFSET(N11,0,-(COLUMN()-1),1,COLUMN()-规则表!$C$18))-SUM(OFFSET(N27,0,-(COLUMN()-1),1,COLUMN()))+SUM(OFFSET(N43,0,-(COLUMN()-1),1,COLUMN()-规则表!$F$18))+SUMPRODUCT((IFERROR(OFFSET(N43,0,-(规则表!$F$18-1),1,规则表!$F$18),0)&lt;0)*IFERROR(FFSET(N43,0,-(规则表!$F$18-1),1,规则表!$F$18),0))</f>
        <v>0</v>
      </c>
      <c r="O79" s="115" cm="1">
        <f t="array" aca="1" ref="O79" ca="1">SUM(OFFSET(O11,0,-(COLUMN()-1),1,COLUMN()-规则表!$C$18))-SUM(OFFSET(O27,0,-(COLUMN()-1),1,COLUMN()))+SUM(OFFSET(O43,0,-(COLUMN()-1),1,COLUMN()-规则表!$F$18))+SUMPRODUCT((IFERROR(OFFSET(O43,0,-(规则表!$F$18-1),1,规则表!$F$18),0)&lt;0)*IFERROR(FFSET(O43,0,-(规则表!$F$18-1),1,规则表!$F$18),0))</f>
        <v>0</v>
      </c>
      <c r="P79" s="116" cm="1">
        <f t="array" aca="1" ref="P79" ca="1">SUM(OFFSET(P11,0,-(COLUMN()-1),1,COLUMN()-规则表!$C$18))-SUM(OFFSET(P27,0,-(COLUMN()-1),1,COLUMN()))+SUM(OFFSET(P43,0,-(COLUMN()-1),1,COLUMN()-规则表!$F$18))+SUMPRODUCT((IFERROR(OFFSET(P43,0,-(规则表!$F$18-1),1,规则表!$F$18),0)&lt;0)*IFERROR(FFSET(P43,0,-(规则表!$F$18-1),1,规则表!$F$18),0))</f>
        <v>0</v>
      </c>
      <c r="Q79" s="109" cm="1">
        <f t="array" aca="1" ref="Q79" ca="1">SUM(OFFSET(Q11,0,-(COLUMN()-1),1,COLUMN()-规则表!$C$18))-SUM(OFFSET(Q27,0,-(COLUMN()-1),1,COLUMN()))+SUM(OFFSET(Q43,0,-(COLUMN()-1),1,COLUMN()-规则表!$F$18))+SUMPRODUCT((IFERROR(OFFSET(Q43,0,-(规则表!$F$18-1),1,规则表!$F$18),0)&lt;0)*IFERROR(FFSET(Q43,0,-(规则表!$F$18-1),1,规则表!$F$18),0))</f>
        <v>0</v>
      </c>
      <c r="R79" s="115" cm="1">
        <f t="array" aca="1" ref="R79" ca="1">SUM(OFFSET(R11,0,-(COLUMN()-1),1,COLUMN()-规则表!$C$18))-SUM(OFFSET(R27,0,-(COLUMN()-1),1,COLUMN()))+SUM(OFFSET(R43,0,-(COLUMN()-1),1,COLUMN()-规则表!$F$18))+SUMPRODUCT((IFERROR(OFFSET(R43,0,-(规则表!$F$18-1),1,规则表!$F$18),0)&lt;0)*IFERROR(FFSET(R43,0,-(规则表!$F$18-1),1,规则表!$F$18),0))</f>
        <v>0</v>
      </c>
      <c r="S79" s="115" cm="1">
        <f t="array" aca="1" ref="S79" ca="1">SUM(OFFSET(S11,0,-(COLUMN()-1),1,COLUMN()-规则表!$C$18))-SUM(OFFSET(S27,0,-(COLUMN()-1),1,COLUMN()))+SUM(OFFSET(S43,0,-(COLUMN()-1),1,COLUMN()-规则表!$F$18))+SUMPRODUCT((IFERROR(OFFSET(S43,0,-(规则表!$F$18-1),1,规则表!$F$18),0)&lt;0)*IFERROR(FFSET(S43,0,-(规则表!$F$18-1),1,规则表!$F$18),0))</f>
        <v>0</v>
      </c>
      <c r="T79" s="116" cm="1">
        <f t="array" aca="1" ref="T79" ca="1">SUM(OFFSET(T11,0,-(COLUMN()-1),1,COLUMN()-规则表!$C$18))-SUM(OFFSET(T27,0,-(COLUMN()-1),1,COLUMN()))+SUM(OFFSET(T43,0,-(COLUMN()-1),1,COLUMN()-规则表!$F$18))+SUMPRODUCT((IFERROR(OFFSET(T43,0,-(规则表!$F$18-1),1,规则表!$F$18),0)&lt;0)*IFERROR(FFSET(T43,0,-(规则表!$F$18-1),1,规则表!$F$18),0))</f>
        <v>0</v>
      </c>
      <c r="U79" s="109" cm="1">
        <f t="array" aca="1" ref="U79" ca="1">SUM(OFFSET(U11,0,-(COLUMN()-1),1,COLUMN()-规则表!$C$18))-SUM(OFFSET(U27,0,-(COLUMN()-1),1,COLUMN()))+SUM(OFFSET(U43,0,-(COLUMN()-1),1,COLUMN()-规则表!$F$18))+SUMPRODUCT((IFERROR(OFFSET(U43,0,-(规则表!$F$18-1),1,规则表!$F$18),0)&lt;0)*IFERROR(FFSET(U43,0,-(规则表!$F$18-1),1,规则表!$F$18),0))</f>
        <v>0</v>
      </c>
      <c r="V79" s="115" cm="1">
        <f t="array" aca="1" ref="V79" ca="1">SUM(OFFSET(V11,0,-(COLUMN()-1),1,COLUMN()-规则表!$C$18))-SUM(OFFSET(V27,0,-(COLUMN()-1),1,COLUMN()))+SUM(OFFSET(V43,0,-(COLUMN()-1),1,COLUMN()-规则表!$F$18))+SUMPRODUCT((IFERROR(OFFSET(V43,0,-(规则表!$F$18-1),1,规则表!$F$18),0)&lt;0)*IFERROR(FFSET(V43,0,-(规则表!$F$18-1),1,规则表!$F$18),0))</f>
        <v>0</v>
      </c>
      <c r="W79" s="115" cm="1">
        <f t="array" aca="1" ref="W79" ca="1">SUM(OFFSET(W11,0,-(COLUMN()-1),1,COLUMN()-规则表!$C$18))-SUM(OFFSET(W27,0,-(COLUMN()-1),1,COLUMN()))+SUM(OFFSET(W43,0,-(COLUMN()-1),1,COLUMN()-规则表!$F$18))+SUMPRODUCT((IFERROR(OFFSET(W43,0,-(规则表!$F$18-1),1,规则表!$F$18),0)&lt;0)*IFERROR(FFSET(W43,0,-(规则表!$F$18-1),1,规则表!$F$18),0))</f>
        <v>0</v>
      </c>
      <c r="X79" s="116" cm="1">
        <f t="array" aca="1" ref="X79" ca="1">SUM(OFFSET(X11,0,-(COLUMN()-1),1,COLUMN()-规则表!$C$18))-SUM(OFFSET(X27,0,-(COLUMN()-1),1,COLUMN()))+SUM(OFFSET(X43,0,-(COLUMN()-1),1,COLUMN()-规则表!$F$18))+SUMPRODUCT((IFERROR(OFFSET(X43,0,-(规则表!$F$18-1),1,规则表!$F$18),0)&lt;0)*IFERROR(FFSET(X43,0,-(规则表!$F$18-1),1,规则表!$F$18),0))</f>
        <v>0</v>
      </c>
    </row>
    <row r="80" spans="1:24">
      <c r="A80" s="357"/>
      <c r="B80" s="356"/>
      <c r="C80" s="90" t="s">
        <v>191</v>
      </c>
      <c r="D80" s="91"/>
      <c r="E80" s="91"/>
      <c r="F80" s="91"/>
      <c r="G80" s="91"/>
      <c r="H80" s="91"/>
      <c r="I80" s="109" cm="1">
        <f t="array" aca="1" ref="I80" ca="1">SUM(OFFSET(I12,0,-(COLUMN()-1),1,COLUMN()-规则表!$C$18))-SUM(OFFSET(I28,0,-(COLUMN()-1),1,COLUMN()))+SUM(OFFSET(I44,0,-(COLUMN()-1),1,COLUMN()-规则表!$F$18))+SUMPRODUCT((IFERROR(OFFSET(I44,0,-(规则表!$F$18-1),1,规则表!$F$18),0)&lt;0)*IFERROR(FFSET(I44,0,-(规则表!$F$18-1),1,规则表!$F$18),0))</f>
        <v>0</v>
      </c>
      <c r="J80" s="115" cm="1">
        <f t="array" aca="1" ref="J80" ca="1">SUM(OFFSET(J12,0,-(COLUMN()-1),1,COLUMN()-规则表!$C$18))-SUM(OFFSET(J28,0,-(COLUMN()-1),1,COLUMN()))+SUM(OFFSET(J44,0,-(COLUMN()-1),1,COLUMN()-规则表!$F$18))+SUMPRODUCT((IFERROR(OFFSET(J44,0,-(规则表!$F$18-1),1,规则表!$F$18),0)&lt;0)*IFERROR(FFSET(J44,0,-(规则表!$F$18-1),1,规则表!$F$18),0))</f>
        <v>0</v>
      </c>
      <c r="K80" s="115" cm="1">
        <f t="array" aca="1" ref="K80" ca="1">SUM(OFFSET(K12,0,-(COLUMN()-1),1,COLUMN()-规则表!$C$18))-SUM(OFFSET(K28,0,-(COLUMN()-1),1,COLUMN()))+SUM(OFFSET(K44,0,-(COLUMN()-1),1,COLUMN()-规则表!$F$18))+SUMPRODUCT((IFERROR(OFFSET(K44,0,-(规则表!$F$18-1),1,规则表!$F$18),0)&lt;0)*IFERROR(FFSET(K44,0,-(规则表!$F$18-1),1,规则表!$F$18),0))</f>
        <v>0</v>
      </c>
      <c r="L80" s="116" cm="1">
        <f t="array" aca="1" ref="L80" ca="1">SUM(OFFSET(L12,0,-(COLUMN()-1),1,COLUMN()-规则表!$C$18))-SUM(OFFSET(L28,0,-(COLUMN()-1),1,COLUMN()))+SUM(OFFSET(L44,0,-(COLUMN()-1),1,COLUMN()-规则表!$F$18))+SUMPRODUCT((IFERROR(OFFSET(L44,0,-(规则表!$F$18-1),1,规则表!$F$18),0)&lt;0)*IFERROR(FFSET(L44,0,-(规则表!$F$18-1),1,规则表!$F$18),0))</f>
        <v>0</v>
      </c>
      <c r="M80" s="109" cm="1">
        <f t="array" aca="1" ref="M80" ca="1">SUM(OFFSET(M12,0,-(COLUMN()-1),1,COLUMN()-规则表!$C$18))-SUM(OFFSET(M28,0,-(COLUMN()-1),1,COLUMN()))+SUM(OFFSET(M44,0,-(COLUMN()-1),1,COLUMN()-规则表!$F$18))+SUMPRODUCT((IFERROR(OFFSET(M44,0,-(规则表!$F$18-1),1,规则表!$F$18),0)&lt;0)*IFERROR(FFSET(M44,0,-(规则表!$F$18-1),1,规则表!$F$18),0))</f>
        <v>0</v>
      </c>
      <c r="N80" s="115" cm="1">
        <f t="array" aca="1" ref="N80" ca="1">SUM(OFFSET(N12,0,-(COLUMN()-1),1,COLUMN()-规则表!$C$18))-SUM(OFFSET(N28,0,-(COLUMN()-1),1,COLUMN()))+SUM(OFFSET(N44,0,-(COLUMN()-1),1,COLUMN()-规则表!$F$18))+SUMPRODUCT((IFERROR(OFFSET(N44,0,-(规则表!$F$18-1),1,规则表!$F$18),0)&lt;0)*IFERROR(FFSET(N44,0,-(规则表!$F$18-1),1,规则表!$F$18),0))</f>
        <v>0</v>
      </c>
      <c r="O80" s="115" cm="1">
        <f t="array" aca="1" ref="O80" ca="1">SUM(OFFSET(O12,0,-(COLUMN()-1),1,COLUMN()-规则表!$C$18))-SUM(OFFSET(O28,0,-(COLUMN()-1),1,COLUMN()))+SUM(OFFSET(O44,0,-(COLUMN()-1),1,COLUMN()-规则表!$F$18))+SUMPRODUCT((IFERROR(OFFSET(O44,0,-(规则表!$F$18-1),1,规则表!$F$18),0)&lt;0)*IFERROR(FFSET(O44,0,-(规则表!$F$18-1),1,规则表!$F$18),0))</f>
        <v>0</v>
      </c>
      <c r="P80" s="116" cm="1">
        <f t="array" aca="1" ref="P80" ca="1">SUM(OFFSET(P12,0,-(COLUMN()-1),1,COLUMN()-规则表!$C$18))-SUM(OFFSET(P28,0,-(COLUMN()-1),1,COLUMN()))+SUM(OFFSET(P44,0,-(COLUMN()-1),1,COLUMN()-规则表!$F$18))+SUMPRODUCT((IFERROR(OFFSET(P44,0,-(规则表!$F$18-1),1,规则表!$F$18),0)&lt;0)*IFERROR(FFSET(P44,0,-(规则表!$F$18-1),1,规则表!$F$18),0))</f>
        <v>0</v>
      </c>
      <c r="Q80" s="109" cm="1">
        <f t="array" aca="1" ref="Q80" ca="1">SUM(OFFSET(Q12,0,-(COLUMN()-1),1,COLUMN()-规则表!$C$18))-SUM(OFFSET(Q28,0,-(COLUMN()-1),1,COLUMN()))+SUM(OFFSET(Q44,0,-(COLUMN()-1),1,COLUMN()-规则表!$F$18))+SUMPRODUCT((IFERROR(OFFSET(Q44,0,-(规则表!$F$18-1),1,规则表!$F$18),0)&lt;0)*IFERROR(FFSET(Q44,0,-(规则表!$F$18-1),1,规则表!$F$18),0))</f>
        <v>0</v>
      </c>
      <c r="R80" s="115" cm="1">
        <f t="array" aca="1" ref="R80" ca="1">SUM(OFFSET(R12,0,-(COLUMN()-1),1,COLUMN()-规则表!$C$18))-SUM(OFFSET(R28,0,-(COLUMN()-1),1,COLUMN()))+SUM(OFFSET(R44,0,-(COLUMN()-1),1,COLUMN()-规则表!$F$18))+SUMPRODUCT((IFERROR(OFFSET(R44,0,-(规则表!$F$18-1),1,规则表!$F$18),0)&lt;0)*IFERROR(FFSET(R44,0,-(规则表!$F$18-1),1,规则表!$F$18),0))</f>
        <v>0</v>
      </c>
      <c r="S80" s="115" cm="1">
        <f t="array" aca="1" ref="S80" ca="1">SUM(OFFSET(S12,0,-(COLUMN()-1),1,COLUMN()-规则表!$C$18))-SUM(OFFSET(S28,0,-(COLUMN()-1),1,COLUMN()))+SUM(OFFSET(S44,0,-(COLUMN()-1),1,COLUMN()-规则表!$F$18))+SUMPRODUCT((IFERROR(OFFSET(S44,0,-(规则表!$F$18-1),1,规则表!$F$18),0)&lt;0)*IFERROR(FFSET(S44,0,-(规则表!$F$18-1),1,规则表!$F$18),0))</f>
        <v>0</v>
      </c>
      <c r="T80" s="116" cm="1">
        <f t="array" aca="1" ref="T80" ca="1">SUM(OFFSET(T12,0,-(COLUMN()-1),1,COLUMN()-规则表!$C$18))-SUM(OFFSET(T28,0,-(COLUMN()-1),1,COLUMN()))+SUM(OFFSET(T44,0,-(COLUMN()-1),1,COLUMN()-规则表!$F$18))+SUMPRODUCT((IFERROR(OFFSET(T44,0,-(规则表!$F$18-1),1,规则表!$F$18),0)&lt;0)*IFERROR(FFSET(T44,0,-(规则表!$F$18-1),1,规则表!$F$18),0))</f>
        <v>0</v>
      </c>
      <c r="U80" s="109" cm="1">
        <f t="array" aca="1" ref="U80" ca="1">SUM(OFFSET(U12,0,-(COLUMN()-1),1,COLUMN()-规则表!$C$18))-SUM(OFFSET(U28,0,-(COLUMN()-1),1,COLUMN()))+SUM(OFFSET(U44,0,-(COLUMN()-1),1,COLUMN()-规则表!$F$18))+SUMPRODUCT((IFERROR(OFFSET(U44,0,-(规则表!$F$18-1),1,规则表!$F$18),0)&lt;0)*IFERROR(FFSET(U44,0,-(规则表!$F$18-1),1,规则表!$F$18),0))</f>
        <v>0</v>
      </c>
      <c r="V80" s="115" cm="1">
        <f t="array" aca="1" ref="V80" ca="1">SUM(OFFSET(V12,0,-(COLUMN()-1),1,COLUMN()-规则表!$C$18))-SUM(OFFSET(V28,0,-(COLUMN()-1),1,COLUMN()))+SUM(OFFSET(V44,0,-(COLUMN()-1),1,COLUMN()-规则表!$F$18))+SUMPRODUCT((IFERROR(OFFSET(V44,0,-(规则表!$F$18-1),1,规则表!$F$18),0)&lt;0)*IFERROR(FFSET(V44,0,-(规则表!$F$18-1),1,规则表!$F$18),0))</f>
        <v>0</v>
      </c>
      <c r="W80" s="115" cm="1">
        <f t="array" aca="1" ref="W80" ca="1">SUM(OFFSET(W12,0,-(COLUMN()-1),1,COLUMN()-规则表!$C$18))-SUM(OFFSET(W28,0,-(COLUMN()-1),1,COLUMN()))+SUM(OFFSET(W44,0,-(COLUMN()-1),1,COLUMN()-规则表!$F$18))+SUMPRODUCT((IFERROR(OFFSET(W44,0,-(规则表!$F$18-1),1,规则表!$F$18),0)&lt;0)*IFERROR(FFSET(W44,0,-(规则表!$F$18-1),1,规则表!$F$18),0))</f>
        <v>0</v>
      </c>
      <c r="X80" s="116" cm="1">
        <f t="array" aca="1" ref="X80" ca="1">SUM(OFFSET(X12,0,-(COLUMN()-1),1,COLUMN()-规则表!$C$18))-SUM(OFFSET(X28,0,-(COLUMN()-1),1,COLUMN()))+SUM(OFFSET(X44,0,-(COLUMN()-1),1,COLUMN()-规则表!$F$18))+SUMPRODUCT((IFERROR(OFFSET(X44,0,-(规则表!$F$18-1),1,规则表!$F$18),0)&lt;0)*IFERROR(FFSET(X44,0,-(规则表!$F$18-1),1,规则表!$F$18),0))</f>
        <v>0</v>
      </c>
    </row>
    <row r="81" spans="1:24">
      <c r="A81" s="357"/>
      <c r="B81" s="356"/>
      <c r="C81" s="90" t="s">
        <v>192</v>
      </c>
      <c r="D81" s="91"/>
      <c r="E81" s="91"/>
      <c r="F81" s="91"/>
      <c r="G81" s="91"/>
      <c r="H81" s="91"/>
      <c r="I81" s="110" cm="1">
        <f t="array" aca="1" ref="I81" ca="1">SUM(OFFSET(I13,0,-(COLUMN()-1),1,COLUMN()-规则表!$C$18))-SUM(OFFSET(I29,0,-(COLUMN()-1),1,COLUMN()))+SUM(OFFSET(I45,0,-(COLUMN()-1),1,COLUMN()-规则表!$F$18))+SUMPRODUCT((IFERROR(OFFSET(I45,0,-(规则表!$F$18-1),1,规则表!$F$18),0)&lt;0)*IFERROR(FFSET(I45,0,-(规则表!$F$18-1),1,规则表!$F$18),0))</f>
        <v>0</v>
      </c>
      <c r="J81" s="117" cm="1">
        <f t="array" aca="1" ref="J81" ca="1">SUM(OFFSET(J13,0,-(COLUMN()-1),1,COLUMN()-规则表!$C$18))-SUM(OFFSET(J29,0,-(COLUMN()-1),1,COLUMN()))+SUM(OFFSET(J45,0,-(COLUMN()-1),1,COLUMN()-规则表!$F$18))+SUMPRODUCT((IFERROR(OFFSET(J45,0,-(规则表!$F$18-1),1,规则表!$F$18),0)&lt;0)*IFERROR(FFSET(J45,0,-(规则表!$F$18-1),1,规则表!$F$18),0))</f>
        <v>0</v>
      </c>
      <c r="K81" s="117" cm="1">
        <f t="array" aca="1" ref="K81" ca="1">SUM(OFFSET(K13,0,-(COLUMN()-1),1,COLUMN()-规则表!$C$18))-SUM(OFFSET(K29,0,-(COLUMN()-1),1,COLUMN()))+SUM(OFFSET(K45,0,-(COLUMN()-1),1,COLUMN()-规则表!$F$18))+SUMPRODUCT((IFERROR(OFFSET(K45,0,-(规则表!$F$18-1),1,规则表!$F$18),0)&lt;0)*IFERROR(FFSET(K45,0,-(规则表!$F$18-1),1,规则表!$F$18),0))</f>
        <v>0</v>
      </c>
      <c r="L81" s="118" cm="1">
        <f t="array" aca="1" ref="L81" ca="1">SUM(OFFSET(L13,0,-(COLUMN()-1),1,COLUMN()-规则表!$C$18))-SUM(OFFSET(L29,0,-(COLUMN()-1),1,COLUMN()))+SUM(OFFSET(L45,0,-(COLUMN()-1),1,COLUMN()-规则表!$F$18))+SUMPRODUCT((IFERROR(OFFSET(L45,0,-(规则表!$F$18-1),1,规则表!$F$18),0)&lt;0)*IFERROR(FFSET(L45,0,-(规则表!$F$18-1),1,规则表!$F$18),0))</f>
        <v>0</v>
      </c>
      <c r="M81" s="110" cm="1">
        <f t="array" aca="1" ref="M81" ca="1">SUM(OFFSET(M13,0,-(COLUMN()-1),1,COLUMN()-规则表!$C$18))-SUM(OFFSET(M29,0,-(COLUMN()-1),1,COLUMN()))+SUM(OFFSET(M45,0,-(COLUMN()-1),1,COLUMN()-规则表!$F$18))+SUMPRODUCT((IFERROR(OFFSET(M45,0,-(规则表!$F$18-1),1,规则表!$F$18),0)&lt;0)*IFERROR(FFSET(M45,0,-(规则表!$F$18-1),1,规则表!$F$18),0))</f>
        <v>0</v>
      </c>
      <c r="N81" s="117" cm="1">
        <f t="array" aca="1" ref="N81" ca="1">SUM(OFFSET(N13,0,-(COLUMN()-1),1,COLUMN()-规则表!$C$18))-SUM(OFFSET(N29,0,-(COLUMN()-1),1,COLUMN()))+SUM(OFFSET(N45,0,-(COLUMN()-1),1,COLUMN()-规则表!$F$18))+SUMPRODUCT((IFERROR(OFFSET(N45,0,-(规则表!$F$18-1),1,规则表!$F$18),0)&lt;0)*IFERROR(FFSET(N45,0,-(规则表!$F$18-1),1,规则表!$F$18),0))</f>
        <v>0</v>
      </c>
      <c r="O81" s="117" cm="1">
        <f t="array" aca="1" ref="O81" ca="1">SUM(OFFSET(O13,0,-(COLUMN()-1),1,COLUMN()-规则表!$C$18))-SUM(OFFSET(O29,0,-(COLUMN()-1),1,COLUMN()))+SUM(OFFSET(O45,0,-(COLUMN()-1),1,COLUMN()-规则表!$F$18))+SUMPRODUCT((IFERROR(OFFSET(O45,0,-(规则表!$F$18-1),1,规则表!$F$18),0)&lt;0)*IFERROR(FFSET(O45,0,-(规则表!$F$18-1),1,规则表!$F$18),0))</f>
        <v>0</v>
      </c>
      <c r="P81" s="118" cm="1">
        <f t="array" aca="1" ref="P81" ca="1">SUM(OFFSET(P13,0,-(COLUMN()-1),1,COLUMN()-规则表!$C$18))-SUM(OFFSET(P29,0,-(COLUMN()-1),1,COLUMN()))+SUM(OFFSET(P45,0,-(COLUMN()-1),1,COLUMN()-规则表!$F$18))+SUMPRODUCT((IFERROR(OFFSET(P45,0,-(规则表!$F$18-1),1,规则表!$F$18),0)&lt;0)*IFERROR(FFSET(P45,0,-(规则表!$F$18-1),1,规则表!$F$18),0))</f>
        <v>0</v>
      </c>
      <c r="Q81" s="110" cm="1">
        <f t="array" aca="1" ref="Q81" ca="1">SUM(OFFSET(Q13,0,-(COLUMN()-1),1,COLUMN()-规则表!$C$18))-SUM(OFFSET(Q29,0,-(COLUMN()-1),1,COLUMN()))+SUM(OFFSET(Q45,0,-(COLUMN()-1),1,COLUMN()-规则表!$F$18))+SUMPRODUCT((IFERROR(OFFSET(Q45,0,-(规则表!$F$18-1),1,规则表!$F$18),0)&lt;0)*IFERROR(FFSET(Q45,0,-(规则表!$F$18-1),1,规则表!$F$18),0))</f>
        <v>0</v>
      </c>
      <c r="R81" s="117" cm="1">
        <f t="array" aca="1" ref="R81" ca="1">SUM(OFFSET(R13,0,-(COLUMN()-1),1,COLUMN()-规则表!$C$18))-SUM(OFFSET(R29,0,-(COLUMN()-1),1,COLUMN()))+SUM(OFFSET(R45,0,-(COLUMN()-1),1,COLUMN()-规则表!$F$18))+SUMPRODUCT((IFERROR(OFFSET(R45,0,-(规则表!$F$18-1),1,规则表!$F$18),0)&lt;0)*IFERROR(FFSET(R45,0,-(规则表!$F$18-1),1,规则表!$F$18),0))</f>
        <v>0</v>
      </c>
      <c r="S81" s="117" cm="1">
        <f t="array" aca="1" ref="S81" ca="1">SUM(OFFSET(S13,0,-(COLUMN()-1),1,COLUMN()-规则表!$C$18))-SUM(OFFSET(S29,0,-(COLUMN()-1),1,COLUMN()))+SUM(OFFSET(S45,0,-(COLUMN()-1),1,COLUMN()-规则表!$F$18))+SUMPRODUCT((IFERROR(OFFSET(S45,0,-(规则表!$F$18-1),1,规则表!$F$18),0)&lt;0)*IFERROR(FFSET(S45,0,-(规则表!$F$18-1),1,规则表!$F$18),0))</f>
        <v>0</v>
      </c>
      <c r="T81" s="118" cm="1">
        <f t="array" aca="1" ref="T81" ca="1">SUM(OFFSET(T13,0,-(COLUMN()-1),1,COLUMN()-规则表!$C$18))-SUM(OFFSET(T29,0,-(COLUMN()-1),1,COLUMN()))+SUM(OFFSET(T45,0,-(COLUMN()-1),1,COLUMN()-规则表!$F$18))+SUMPRODUCT((IFERROR(OFFSET(T45,0,-(规则表!$F$18-1),1,规则表!$F$18),0)&lt;0)*IFERROR(FFSET(T45,0,-(规则表!$F$18-1),1,规则表!$F$18),0))</f>
        <v>0</v>
      </c>
      <c r="U81" s="110" cm="1">
        <f t="array" aca="1" ref="U81" ca="1">SUM(OFFSET(U13,0,-(COLUMN()-1),1,COLUMN()-规则表!$C$18))-SUM(OFFSET(U29,0,-(COLUMN()-1),1,COLUMN()))+SUM(OFFSET(U45,0,-(COLUMN()-1),1,COLUMN()-规则表!$F$18))+SUMPRODUCT((IFERROR(OFFSET(U45,0,-(规则表!$F$18-1),1,规则表!$F$18),0)&lt;0)*IFERROR(FFSET(U45,0,-(规则表!$F$18-1),1,规则表!$F$18),0))</f>
        <v>0</v>
      </c>
      <c r="V81" s="117" cm="1">
        <f t="array" aca="1" ref="V81" ca="1">SUM(OFFSET(V13,0,-(COLUMN()-1),1,COLUMN()-规则表!$C$18))-SUM(OFFSET(V29,0,-(COLUMN()-1),1,COLUMN()))+SUM(OFFSET(V45,0,-(COLUMN()-1),1,COLUMN()-规则表!$F$18))+SUMPRODUCT((IFERROR(OFFSET(V45,0,-(规则表!$F$18-1),1,规则表!$F$18),0)&lt;0)*IFERROR(FFSET(V45,0,-(规则表!$F$18-1),1,规则表!$F$18),0))</f>
        <v>0</v>
      </c>
      <c r="W81" s="117" cm="1">
        <f t="array" aca="1" ref="W81" ca="1">SUM(OFFSET(W13,0,-(COLUMN()-1),1,COLUMN()-规则表!$C$18))-SUM(OFFSET(W29,0,-(COLUMN()-1),1,COLUMN()))+SUM(OFFSET(W45,0,-(COLUMN()-1),1,COLUMN()-规则表!$F$18))+SUMPRODUCT((IFERROR(OFFSET(W45,0,-(规则表!$F$18-1),1,规则表!$F$18),0)&lt;0)*IFERROR(FFSET(W45,0,-(规则表!$F$18-1),1,规则表!$F$18),0))</f>
        <v>0</v>
      </c>
      <c r="X81" s="118" cm="1">
        <f t="array" aca="1" ref="X81" ca="1">SUM(OFFSET(X13,0,-(COLUMN()-1),1,COLUMN()-规则表!$C$18))-SUM(OFFSET(X29,0,-(COLUMN()-1),1,COLUMN()))+SUM(OFFSET(X45,0,-(COLUMN()-1),1,COLUMN()-规则表!$F$18))+SUMPRODUCT((IFERROR(OFFSET(X45,0,-(规则表!$F$18-1),1,规则表!$F$18),0)&lt;0)*IFERROR(FFSET(X45,0,-(规则表!$F$18-1),1,规则表!$F$18),0))</f>
        <v>0</v>
      </c>
    </row>
    <row r="82" spans="1:24">
      <c r="A82" s="357"/>
      <c r="B82" s="356" t="s">
        <v>37</v>
      </c>
      <c r="C82" s="90" t="s">
        <v>188</v>
      </c>
      <c r="D82" s="91"/>
      <c r="E82" s="91"/>
      <c r="F82" s="91"/>
      <c r="G82" s="91"/>
      <c r="H82" s="91"/>
      <c r="I82" s="108" cm="1">
        <f t="array" aca="1" ref="I82" ca="1">SUM(OFFSET(I14,0,-(COLUMN()-1),1,COLUMN()-规则表!$C$19))-SUM(OFFSET(I30,0,-(COLUMN()-1),1,COLUMN()))+SUM(OFFSET(I46,0,-(COLUMN()-1),1,COLUMN()-规则表!$F$19))+SUMPRODUCT((IFERROR(OFFSET(I46,0,-(规则表!$F$19-1),1,规则表!$F$18),0)&lt;0)*IFERROR(FFSET(I46,0,-(规则表!$F$19-1),1,规则表!$F$19),0))</f>
        <v>0</v>
      </c>
      <c r="J82" s="112" cm="1">
        <f t="array" aca="1" ref="J82" ca="1">SUM(OFFSET(J14,0,-(COLUMN()-1),1,COLUMN()-规则表!$C$19))-SUM(OFFSET(J30,0,-(COLUMN()-1),1,COLUMN()))+SUM(OFFSET(J46,0,-(COLUMN()-1),1,COLUMN()-规则表!$F$19))+SUMPRODUCT((IFERROR(OFFSET(J46,0,-(规则表!$F$19-1),1,规则表!$F$18),0)&lt;0)*IFERROR(FFSET(J46,0,-(规则表!$F$19-1),1,规则表!$F$19),0))</f>
        <v>0</v>
      </c>
      <c r="K82" s="112" cm="1">
        <f t="array" aca="1" ref="K82" ca="1">SUM(OFFSET(K14,0,-(COLUMN()-1),1,COLUMN()-规则表!$C$19))-SUM(OFFSET(K30,0,-(COLUMN()-1),1,COLUMN()))+SUM(OFFSET(K46,0,-(COLUMN()-1),1,COLUMN()-规则表!$F$19))+SUMPRODUCT((IFERROR(OFFSET(K46,0,-(规则表!$F$19-1),1,规则表!$F$18),0)&lt;0)*IFERROR(FFSET(K46,0,-(规则表!$F$19-1),1,规则表!$F$19),0))</f>
        <v>0</v>
      </c>
      <c r="L82" s="113" cm="1">
        <f t="array" aca="1" ref="L82" ca="1">SUM(OFFSET(L14,0,-(COLUMN()-1),1,COLUMN()-规则表!$C$19))-SUM(OFFSET(L30,0,-(COLUMN()-1),1,COLUMN()))+SUM(OFFSET(L46,0,-(COLUMN()-1),1,COLUMN()-规则表!$F$19))+SUMPRODUCT((IFERROR(OFFSET(L46,0,-(规则表!$F$19-1),1,规则表!$F$18),0)&lt;0)*IFERROR(FFSET(L46,0,-(规则表!$F$19-1),1,规则表!$F$19),0))</f>
        <v>0</v>
      </c>
      <c r="M82" s="108" cm="1">
        <f t="array" aca="1" ref="M82" ca="1">SUM(OFFSET(M14,0,-(COLUMN()-1),1,COLUMN()-规则表!$C$19))-SUM(OFFSET(M30,0,-(COLUMN()-1),1,COLUMN()))+SUM(OFFSET(M46,0,-(COLUMN()-1),1,COLUMN()-规则表!$F$19))+SUMPRODUCT((IFERROR(OFFSET(M46,0,-(规则表!$F$19-1),1,规则表!$F$18),0)&lt;0)*IFERROR(FFSET(M46,0,-(规则表!$F$19-1),1,规则表!$F$19),0))</f>
        <v>0</v>
      </c>
      <c r="N82" s="112" cm="1">
        <f t="array" aca="1" ref="N82" ca="1">SUM(OFFSET(N14,0,-(COLUMN()-1),1,COLUMN()-规则表!$C$19))-SUM(OFFSET(N30,0,-(COLUMN()-1),1,COLUMN()))+SUM(OFFSET(N46,0,-(COLUMN()-1),1,COLUMN()-规则表!$F$19))+SUMPRODUCT((IFERROR(OFFSET(N46,0,-(规则表!$F$19-1),1,规则表!$F$18),0)&lt;0)*IFERROR(FFSET(N46,0,-(规则表!$F$19-1),1,规则表!$F$19),0))</f>
        <v>0</v>
      </c>
      <c r="O82" s="112" cm="1">
        <f t="array" aca="1" ref="O82" ca="1">SUM(OFFSET(O14,0,-(COLUMN()-1),1,COLUMN()-规则表!$C$19))-SUM(OFFSET(O30,0,-(COLUMN()-1),1,COLUMN()))+SUM(OFFSET(O46,0,-(COLUMN()-1),1,COLUMN()-规则表!$F$19))+SUMPRODUCT((IFERROR(OFFSET(O46,0,-(规则表!$F$19-1),1,规则表!$F$18),0)&lt;0)*IFERROR(FFSET(O46,0,-(规则表!$F$19-1),1,规则表!$F$19),0))</f>
        <v>0</v>
      </c>
      <c r="P82" s="113" cm="1">
        <f t="array" aca="1" ref="P82" ca="1">SUM(OFFSET(P14,0,-(COLUMN()-1),1,COLUMN()-规则表!$C$19))-SUM(OFFSET(P30,0,-(COLUMN()-1),1,COLUMN()))+SUM(OFFSET(P46,0,-(COLUMN()-1),1,COLUMN()-规则表!$F$19))+SUMPRODUCT((IFERROR(OFFSET(P46,0,-(规则表!$F$19-1),1,规则表!$F$18),0)&lt;0)*IFERROR(FFSET(P46,0,-(规则表!$F$19-1),1,规则表!$F$19),0))</f>
        <v>0</v>
      </c>
      <c r="Q82" s="108" cm="1">
        <f t="array" aca="1" ref="Q82" ca="1">SUM(OFFSET(Q14,0,-(COLUMN()-1),1,COLUMN()-规则表!$C$19))-SUM(OFFSET(Q30,0,-(COLUMN()-1),1,COLUMN()))+SUM(OFFSET(Q46,0,-(COLUMN()-1),1,COLUMN()-规则表!$F$19))+SUMPRODUCT((IFERROR(OFFSET(Q46,0,-(规则表!$F$19-1),1,规则表!$F$18),0)&lt;0)*IFERROR(FFSET(Q46,0,-(规则表!$F$19-1),1,规则表!$F$19),0))</f>
        <v>0</v>
      </c>
      <c r="R82" s="112" cm="1">
        <f t="array" aca="1" ref="R82" ca="1">SUM(OFFSET(R14,0,-(COLUMN()-1),1,COLUMN()-规则表!$C$19))-SUM(OFFSET(R30,0,-(COLUMN()-1),1,COLUMN()))+SUM(OFFSET(R46,0,-(COLUMN()-1),1,COLUMN()-规则表!$F$19))+SUMPRODUCT((IFERROR(OFFSET(R46,0,-(规则表!$F$19-1),1,规则表!$F$18),0)&lt;0)*IFERROR(FFSET(R46,0,-(规则表!$F$19-1),1,规则表!$F$19),0))</f>
        <v>0</v>
      </c>
      <c r="S82" s="112" cm="1">
        <f t="array" aca="1" ref="S82" ca="1">SUM(OFFSET(S14,0,-(COLUMN()-1),1,COLUMN()-规则表!$C$19))-SUM(OFFSET(S30,0,-(COLUMN()-1),1,COLUMN()))+SUM(OFFSET(S46,0,-(COLUMN()-1),1,COLUMN()-规则表!$F$19))+SUMPRODUCT((IFERROR(OFFSET(S46,0,-(规则表!$F$19-1),1,规则表!$F$18),0)&lt;0)*IFERROR(FFSET(S46,0,-(规则表!$F$19-1),1,规则表!$F$19),0))</f>
        <v>0</v>
      </c>
      <c r="T82" s="113" cm="1">
        <f t="array" aca="1" ref="T82" ca="1">SUM(OFFSET(T14,0,-(COLUMN()-1),1,COLUMN()-规则表!$C$19))-SUM(OFFSET(T30,0,-(COLUMN()-1),1,COLUMN()))+SUM(OFFSET(T46,0,-(COLUMN()-1),1,COLUMN()-规则表!$F$19))+SUMPRODUCT((IFERROR(OFFSET(T46,0,-(规则表!$F$19-1),1,规则表!$F$18),0)&lt;0)*IFERROR(FFSET(T46,0,-(规则表!$F$19-1),1,规则表!$F$19),0))</f>
        <v>0</v>
      </c>
      <c r="U82" s="108" cm="1">
        <f t="array" aca="1" ref="U82" ca="1">SUM(OFFSET(U14,0,-(COLUMN()-1),1,COLUMN()-规则表!$C$19))-SUM(OFFSET(U30,0,-(COLUMN()-1),1,COLUMN()))+SUM(OFFSET(U46,0,-(COLUMN()-1),1,COLUMN()-规则表!$F$19))+SUMPRODUCT((IFERROR(OFFSET(U46,0,-(规则表!$F$19-1),1,规则表!$F$18),0)&lt;0)*IFERROR(FFSET(U46,0,-(规则表!$F$19-1),1,规则表!$F$19),0))</f>
        <v>0</v>
      </c>
      <c r="V82" s="112" cm="1">
        <f t="array" aca="1" ref="V82" ca="1">SUM(OFFSET(V14,0,-(COLUMN()-1),1,COLUMN()-规则表!$C$19))-SUM(OFFSET(V30,0,-(COLUMN()-1),1,COLUMN()))+SUM(OFFSET(V46,0,-(COLUMN()-1),1,COLUMN()-规则表!$F$19))+SUMPRODUCT((IFERROR(OFFSET(V46,0,-(规则表!$F$19-1),1,规则表!$F$18),0)&lt;0)*IFERROR(FFSET(V46,0,-(规则表!$F$19-1),1,规则表!$F$19),0))</f>
        <v>0</v>
      </c>
      <c r="W82" s="112" cm="1">
        <f t="array" aca="1" ref="W82" ca="1">SUM(OFFSET(W14,0,-(COLUMN()-1),1,COLUMN()-规则表!$C$19))-SUM(OFFSET(W30,0,-(COLUMN()-1),1,COLUMN()))+SUM(OFFSET(W46,0,-(COLUMN()-1),1,COLUMN()-规则表!$F$19))+SUMPRODUCT((IFERROR(OFFSET(W46,0,-(规则表!$F$19-1),1,规则表!$F$18),0)&lt;0)*IFERROR(FFSET(W46,0,-(规则表!$F$19-1),1,规则表!$F$19),0))</f>
        <v>0</v>
      </c>
      <c r="X82" s="113" cm="1">
        <f t="array" aca="1" ref="X82" ca="1">SUM(OFFSET(X14,0,-(COLUMN()-1),1,COLUMN()-规则表!$C$19))-SUM(OFFSET(X30,0,-(COLUMN()-1),1,COLUMN()))+SUM(OFFSET(X46,0,-(COLUMN()-1),1,COLUMN()-规则表!$F$19))+SUMPRODUCT((IFERROR(OFFSET(X46,0,-(规则表!$F$19-1),1,规则表!$F$18),0)&lt;0)*IFERROR(FFSET(X46,0,-(规则表!$F$19-1),1,规则表!$F$19),0))</f>
        <v>0</v>
      </c>
    </row>
    <row r="83" spans="1:24">
      <c r="A83" s="357"/>
      <c r="B83" s="356"/>
      <c r="C83" s="90" t="s">
        <v>189</v>
      </c>
      <c r="D83" s="91"/>
      <c r="E83" s="91"/>
      <c r="F83" s="91"/>
      <c r="G83" s="91"/>
      <c r="H83" s="91"/>
      <c r="I83" s="109" cm="1">
        <f t="array" aca="1" ref="I83" ca="1">SUM(OFFSET(I15,0,-(COLUMN()-1),1,COLUMN()-规则表!$C$19))-SUM(OFFSET(I31,0,-(COLUMN()-1),1,COLUMN()))+SUM(OFFSET(I47,0,-(COLUMN()-1),1,COLUMN()-规则表!$F$19))+SUMPRODUCT((IFERROR(OFFSET(I47,0,-(规则表!$F$19-1),1,规则表!$F$18),0)&lt;0)*IFERROR(FFSET(I47,0,-(规则表!$F$19-1),1,规则表!$F$19),0))</f>
        <v>0</v>
      </c>
      <c r="J83" s="115" cm="1">
        <f t="array" aca="1" ref="J83" ca="1">SUM(OFFSET(J15,0,-(COLUMN()-1),1,COLUMN()-规则表!$C$19))-SUM(OFFSET(J31,0,-(COLUMN()-1),1,COLUMN()))+SUM(OFFSET(J47,0,-(COLUMN()-1),1,COLUMN()-规则表!$F$19))+SUMPRODUCT((IFERROR(OFFSET(J47,0,-(规则表!$F$19-1),1,规则表!$F$18),0)&lt;0)*IFERROR(FFSET(J47,0,-(规则表!$F$19-1),1,规则表!$F$19),0))</f>
        <v>0</v>
      </c>
      <c r="K83" s="115" cm="1">
        <f t="array" aca="1" ref="K83" ca="1">SUM(OFFSET(K15,0,-(COLUMN()-1),1,COLUMN()-规则表!$C$19))-SUM(OFFSET(K31,0,-(COLUMN()-1),1,COLUMN()))+SUM(OFFSET(K47,0,-(COLUMN()-1),1,COLUMN()-规则表!$F$19))+SUMPRODUCT((IFERROR(OFFSET(K47,0,-(规则表!$F$19-1),1,规则表!$F$18),0)&lt;0)*IFERROR(FFSET(K47,0,-(规则表!$F$19-1),1,规则表!$F$19),0))</f>
        <v>0</v>
      </c>
      <c r="L83" s="116" cm="1">
        <f t="array" aca="1" ref="L83" ca="1">SUM(OFFSET(L15,0,-(COLUMN()-1),1,COLUMN()-规则表!$C$19))-SUM(OFFSET(L31,0,-(COLUMN()-1),1,COLUMN()))+SUM(OFFSET(L47,0,-(COLUMN()-1),1,COLUMN()-规则表!$F$19))+SUMPRODUCT((IFERROR(OFFSET(L47,0,-(规则表!$F$19-1),1,规则表!$F$18),0)&lt;0)*IFERROR(FFSET(L47,0,-(规则表!$F$19-1),1,规则表!$F$19),0))</f>
        <v>0</v>
      </c>
      <c r="M83" s="109" cm="1">
        <f t="array" aca="1" ref="M83" ca="1">SUM(OFFSET(M15,0,-(COLUMN()-1),1,COLUMN()-规则表!$C$19))-SUM(OFFSET(M31,0,-(COLUMN()-1),1,COLUMN()))+SUM(OFFSET(M47,0,-(COLUMN()-1),1,COLUMN()-规则表!$F$19))+SUMPRODUCT((IFERROR(OFFSET(M47,0,-(规则表!$F$19-1),1,规则表!$F$18),0)&lt;0)*IFERROR(FFSET(M47,0,-(规则表!$F$19-1),1,规则表!$F$19),0))</f>
        <v>0</v>
      </c>
      <c r="N83" s="115" cm="1">
        <f t="array" aca="1" ref="N83" ca="1">SUM(OFFSET(N15,0,-(COLUMN()-1),1,COLUMN()-规则表!$C$19))-SUM(OFFSET(N31,0,-(COLUMN()-1),1,COLUMN()))+SUM(OFFSET(N47,0,-(COLUMN()-1),1,COLUMN()-规则表!$F$19))+SUMPRODUCT((IFERROR(OFFSET(N47,0,-(规则表!$F$19-1),1,规则表!$F$18),0)&lt;0)*IFERROR(FFSET(N47,0,-(规则表!$F$19-1),1,规则表!$F$19),0))</f>
        <v>0</v>
      </c>
      <c r="O83" s="115" cm="1">
        <f t="array" aca="1" ref="O83" ca="1">SUM(OFFSET(O15,0,-(COLUMN()-1),1,COLUMN()-规则表!$C$19))-SUM(OFFSET(O31,0,-(COLUMN()-1),1,COLUMN()))+SUM(OFFSET(O47,0,-(COLUMN()-1),1,COLUMN()-规则表!$F$19))+SUMPRODUCT((IFERROR(OFFSET(O47,0,-(规则表!$F$19-1),1,规则表!$F$18),0)&lt;0)*IFERROR(FFSET(O47,0,-(规则表!$F$19-1),1,规则表!$F$19),0))</f>
        <v>0</v>
      </c>
      <c r="P83" s="116" cm="1">
        <f t="array" aca="1" ref="P83" ca="1">SUM(OFFSET(P15,0,-(COLUMN()-1),1,COLUMN()-规则表!$C$19))-SUM(OFFSET(P31,0,-(COLUMN()-1),1,COLUMN()))+SUM(OFFSET(P47,0,-(COLUMN()-1),1,COLUMN()-规则表!$F$19))+SUMPRODUCT((IFERROR(OFFSET(P47,0,-(规则表!$F$19-1),1,规则表!$F$18),0)&lt;0)*IFERROR(FFSET(P47,0,-(规则表!$F$19-1),1,规则表!$F$19),0))</f>
        <v>0</v>
      </c>
      <c r="Q83" s="109" cm="1">
        <f t="array" aca="1" ref="Q83" ca="1">SUM(OFFSET(Q15,0,-(COLUMN()-1),1,COLUMN()-规则表!$C$19))-SUM(OFFSET(Q31,0,-(COLUMN()-1),1,COLUMN()))+SUM(OFFSET(Q47,0,-(COLUMN()-1),1,COLUMN()-规则表!$F$19))+SUMPRODUCT((IFERROR(OFFSET(Q47,0,-(规则表!$F$19-1),1,规则表!$F$18),0)&lt;0)*IFERROR(FFSET(Q47,0,-(规则表!$F$19-1),1,规则表!$F$19),0))</f>
        <v>0</v>
      </c>
      <c r="R83" s="115" cm="1">
        <f t="array" aca="1" ref="R83" ca="1">SUM(OFFSET(R15,0,-(COLUMN()-1),1,COLUMN()-规则表!$C$19))-SUM(OFFSET(R31,0,-(COLUMN()-1),1,COLUMN()))+SUM(OFFSET(R47,0,-(COLUMN()-1),1,COLUMN()-规则表!$F$19))+SUMPRODUCT((IFERROR(OFFSET(R47,0,-(规则表!$F$19-1),1,规则表!$F$18),0)&lt;0)*IFERROR(FFSET(R47,0,-(规则表!$F$19-1),1,规则表!$F$19),0))</f>
        <v>0</v>
      </c>
      <c r="S83" s="115" cm="1">
        <f t="array" aca="1" ref="S83" ca="1">SUM(OFFSET(S15,0,-(COLUMN()-1),1,COLUMN()-规则表!$C$19))-SUM(OFFSET(S31,0,-(COLUMN()-1),1,COLUMN()))+SUM(OFFSET(S47,0,-(COLUMN()-1),1,COLUMN()-规则表!$F$19))+SUMPRODUCT((IFERROR(OFFSET(S47,0,-(规则表!$F$19-1),1,规则表!$F$18),0)&lt;0)*IFERROR(FFSET(S47,0,-(规则表!$F$19-1),1,规则表!$F$19),0))</f>
        <v>0</v>
      </c>
      <c r="T83" s="116" cm="1">
        <f t="array" aca="1" ref="T83" ca="1">SUM(OFFSET(T15,0,-(COLUMN()-1),1,COLUMN()-规则表!$C$19))-SUM(OFFSET(T31,0,-(COLUMN()-1),1,COLUMN()))+SUM(OFFSET(T47,0,-(COLUMN()-1),1,COLUMN()-规则表!$F$19))+SUMPRODUCT((IFERROR(OFFSET(T47,0,-(规则表!$F$19-1),1,规则表!$F$18),0)&lt;0)*IFERROR(FFSET(T47,0,-(规则表!$F$19-1),1,规则表!$F$19),0))</f>
        <v>0</v>
      </c>
      <c r="U83" s="109" cm="1">
        <f t="array" aca="1" ref="U83" ca="1">SUM(OFFSET(U15,0,-(COLUMN()-1),1,COLUMN()-规则表!$C$19))-SUM(OFFSET(U31,0,-(COLUMN()-1),1,COLUMN()))+SUM(OFFSET(U47,0,-(COLUMN()-1),1,COLUMN()-规则表!$F$19))+SUMPRODUCT((IFERROR(OFFSET(U47,0,-(规则表!$F$19-1),1,规则表!$F$18),0)&lt;0)*IFERROR(FFSET(U47,0,-(规则表!$F$19-1),1,规则表!$F$19),0))</f>
        <v>0</v>
      </c>
      <c r="V83" s="115" cm="1">
        <f t="array" aca="1" ref="V83" ca="1">SUM(OFFSET(V15,0,-(COLUMN()-1),1,COLUMN()-规则表!$C$19))-SUM(OFFSET(V31,0,-(COLUMN()-1),1,COLUMN()))+SUM(OFFSET(V47,0,-(COLUMN()-1),1,COLUMN()-规则表!$F$19))+SUMPRODUCT((IFERROR(OFFSET(V47,0,-(规则表!$F$19-1),1,规则表!$F$18),0)&lt;0)*IFERROR(FFSET(V47,0,-(规则表!$F$19-1),1,规则表!$F$19),0))</f>
        <v>0</v>
      </c>
      <c r="W83" s="115" cm="1">
        <f t="array" aca="1" ref="W83" ca="1">SUM(OFFSET(W15,0,-(COLUMN()-1),1,COLUMN()-规则表!$C$19))-SUM(OFFSET(W31,0,-(COLUMN()-1),1,COLUMN()))+SUM(OFFSET(W47,0,-(COLUMN()-1),1,COLUMN()-规则表!$F$19))+SUMPRODUCT((IFERROR(OFFSET(W47,0,-(规则表!$F$19-1),1,规则表!$F$18),0)&lt;0)*IFERROR(FFSET(W47,0,-(规则表!$F$19-1),1,规则表!$F$19),0))</f>
        <v>0</v>
      </c>
      <c r="X83" s="116" cm="1">
        <f t="array" aca="1" ref="X83" ca="1">SUM(OFFSET(X15,0,-(COLUMN()-1),1,COLUMN()-规则表!$C$19))-SUM(OFFSET(X31,0,-(COLUMN()-1),1,COLUMN()))+SUM(OFFSET(X47,0,-(COLUMN()-1),1,COLUMN()-规则表!$F$19))+SUMPRODUCT((IFERROR(OFFSET(X47,0,-(规则表!$F$19-1),1,规则表!$F$18),0)&lt;0)*IFERROR(FFSET(X47,0,-(规则表!$F$19-1),1,规则表!$F$19),0))</f>
        <v>0</v>
      </c>
    </row>
    <row r="84" spans="1:24">
      <c r="A84" s="357"/>
      <c r="B84" s="356"/>
      <c r="C84" s="90" t="s">
        <v>190</v>
      </c>
      <c r="D84" s="91"/>
      <c r="E84" s="91"/>
      <c r="F84" s="91"/>
      <c r="G84" s="91"/>
      <c r="H84" s="91"/>
      <c r="I84" s="109" cm="1">
        <f t="array" aca="1" ref="I84" ca="1">SUM(OFFSET(I16,0,-(COLUMN()-1),1,COLUMN()-规则表!$C$19))-SUM(OFFSET(I32,0,-(COLUMN()-1),1,COLUMN()))+SUM(OFFSET(I48,0,-(COLUMN()-1),1,COLUMN()-规则表!$F$19))+SUMPRODUCT((IFERROR(OFFSET(I48,0,-(规则表!$F$19-1),1,规则表!$F$18),0)&lt;0)*IFERROR(FFSET(I48,0,-(规则表!$F$19-1),1,规则表!$F$19),0))</f>
        <v>0</v>
      </c>
      <c r="J84" s="115" cm="1">
        <f t="array" aca="1" ref="J84" ca="1">SUM(OFFSET(J16,0,-(COLUMN()-1),1,COLUMN()-规则表!$C$19))-SUM(OFFSET(J32,0,-(COLUMN()-1),1,COLUMN()))+SUM(OFFSET(J48,0,-(COLUMN()-1),1,COLUMN()-规则表!$F$19))+SUMPRODUCT((IFERROR(OFFSET(J48,0,-(规则表!$F$19-1),1,规则表!$F$18),0)&lt;0)*IFERROR(FFSET(J48,0,-(规则表!$F$19-1),1,规则表!$F$19),0))</f>
        <v>0</v>
      </c>
      <c r="K84" s="115" cm="1">
        <f t="array" aca="1" ref="K84" ca="1">SUM(OFFSET(K16,0,-(COLUMN()-1),1,COLUMN()-规则表!$C$19))-SUM(OFFSET(K32,0,-(COLUMN()-1),1,COLUMN()))+SUM(OFFSET(K48,0,-(COLUMN()-1),1,COLUMN()-规则表!$F$19))+SUMPRODUCT((IFERROR(OFFSET(K48,0,-(规则表!$F$19-1),1,规则表!$F$18),0)&lt;0)*IFERROR(FFSET(K48,0,-(规则表!$F$19-1),1,规则表!$F$19),0))</f>
        <v>0</v>
      </c>
      <c r="L84" s="116" cm="1">
        <f t="array" aca="1" ref="L84" ca="1">SUM(OFFSET(L16,0,-(COLUMN()-1),1,COLUMN()-规则表!$C$19))-SUM(OFFSET(L32,0,-(COLUMN()-1),1,COLUMN()))+SUM(OFFSET(L48,0,-(COLUMN()-1),1,COLUMN()-规则表!$F$19))+SUMPRODUCT((IFERROR(OFFSET(L48,0,-(规则表!$F$19-1),1,规则表!$F$18),0)&lt;0)*IFERROR(FFSET(L48,0,-(规则表!$F$19-1),1,规则表!$F$19),0))</f>
        <v>0</v>
      </c>
      <c r="M84" s="109" cm="1">
        <f t="array" aca="1" ref="M84" ca="1">SUM(OFFSET(M16,0,-(COLUMN()-1),1,COLUMN()-规则表!$C$19))-SUM(OFFSET(M32,0,-(COLUMN()-1),1,COLUMN()))+SUM(OFFSET(M48,0,-(COLUMN()-1),1,COLUMN()-规则表!$F$19))+SUMPRODUCT((IFERROR(OFFSET(M48,0,-(规则表!$F$19-1),1,规则表!$F$18),0)&lt;0)*IFERROR(FFSET(M48,0,-(规则表!$F$19-1),1,规则表!$F$19),0))</f>
        <v>0</v>
      </c>
      <c r="N84" s="115" cm="1">
        <f t="array" aca="1" ref="N84" ca="1">SUM(OFFSET(N16,0,-(COLUMN()-1),1,COLUMN()-规则表!$C$19))-SUM(OFFSET(N32,0,-(COLUMN()-1),1,COLUMN()))+SUM(OFFSET(N48,0,-(COLUMN()-1),1,COLUMN()-规则表!$F$19))+SUMPRODUCT((IFERROR(OFFSET(N48,0,-(规则表!$F$19-1),1,规则表!$F$18),0)&lt;0)*IFERROR(FFSET(N48,0,-(规则表!$F$19-1),1,规则表!$F$19),0))</f>
        <v>0</v>
      </c>
      <c r="O84" s="115" cm="1">
        <f t="array" aca="1" ref="O84" ca="1">SUM(OFFSET(O16,0,-(COLUMN()-1),1,COLUMN()-规则表!$C$19))-SUM(OFFSET(O32,0,-(COLUMN()-1),1,COLUMN()))+SUM(OFFSET(O48,0,-(COLUMN()-1),1,COLUMN()-规则表!$F$19))+SUMPRODUCT((IFERROR(OFFSET(O48,0,-(规则表!$F$19-1),1,规则表!$F$18),0)&lt;0)*IFERROR(FFSET(O48,0,-(规则表!$F$19-1),1,规则表!$F$19),0))</f>
        <v>0</v>
      </c>
      <c r="P84" s="116" cm="1">
        <f t="array" aca="1" ref="P84" ca="1">SUM(OFFSET(P16,0,-(COLUMN()-1),1,COLUMN()-规则表!$C$19))-SUM(OFFSET(P32,0,-(COLUMN()-1),1,COLUMN()))+SUM(OFFSET(P48,0,-(COLUMN()-1),1,COLUMN()-规则表!$F$19))+SUMPRODUCT((IFERROR(OFFSET(P48,0,-(规则表!$F$19-1),1,规则表!$F$18),0)&lt;0)*IFERROR(FFSET(P48,0,-(规则表!$F$19-1),1,规则表!$F$19),0))</f>
        <v>0</v>
      </c>
      <c r="Q84" s="109" cm="1">
        <f t="array" aca="1" ref="Q84" ca="1">SUM(OFFSET(Q16,0,-(COLUMN()-1),1,COLUMN()-规则表!$C$19))-SUM(OFFSET(Q32,0,-(COLUMN()-1),1,COLUMN()))+SUM(OFFSET(Q48,0,-(COLUMN()-1),1,COLUMN()-规则表!$F$19))+SUMPRODUCT((IFERROR(OFFSET(Q48,0,-(规则表!$F$19-1),1,规则表!$F$18),0)&lt;0)*IFERROR(FFSET(Q48,0,-(规则表!$F$19-1),1,规则表!$F$19),0))</f>
        <v>0</v>
      </c>
      <c r="R84" s="115" cm="1">
        <f t="array" aca="1" ref="R84" ca="1">SUM(OFFSET(R16,0,-(COLUMN()-1),1,COLUMN()-规则表!$C$19))-SUM(OFFSET(R32,0,-(COLUMN()-1),1,COLUMN()))+SUM(OFFSET(R48,0,-(COLUMN()-1),1,COLUMN()-规则表!$F$19))+SUMPRODUCT((IFERROR(OFFSET(R48,0,-(规则表!$F$19-1),1,规则表!$F$18),0)&lt;0)*IFERROR(FFSET(R48,0,-(规则表!$F$19-1),1,规则表!$F$19),0))</f>
        <v>0</v>
      </c>
      <c r="S84" s="115" cm="1">
        <f t="array" aca="1" ref="S84" ca="1">SUM(OFFSET(S16,0,-(COLUMN()-1),1,COLUMN()-规则表!$C$19))-SUM(OFFSET(S32,0,-(COLUMN()-1),1,COLUMN()))+SUM(OFFSET(S48,0,-(COLUMN()-1),1,COLUMN()-规则表!$F$19))+SUMPRODUCT((IFERROR(OFFSET(S48,0,-(规则表!$F$19-1),1,规则表!$F$18),0)&lt;0)*IFERROR(FFSET(S48,0,-(规则表!$F$19-1),1,规则表!$F$19),0))</f>
        <v>0</v>
      </c>
      <c r="T84" s="116" cm="1">
        <f t="array" aca="1" ref="T84" ca="1">SUM(OFFSET(T16,0,-(COLUMN()-1),1,COLUMN()-规则表!$C$19))-SUM(OFFSET(T32,0,-(COLUMN()-1),1,COLUMN()))+SUM(OFFSET(T48,0,-(COLUMN()-1),1,COLUMN()-规则表!$F$19))+SUMPRODUCT((IFERROR(OFFSET(T48,0,-(规则表!$F$19-1),1,规则表!$F$18),0)&lt;0)*IFERROR(FFSET(T48,0,-(规则表!$F$19-1),1,规则表!$F$19),0))</f>
        <v>0</v>
      </c>
      <c r="U84" s="109" cm="1">
        <f t="array" aca="1" ref="U84" ca="1">SUM(OFFSET(U16,0,-(COLUMN()-1),1,COLUMN()-规则表!$C$19))-SUM(OFFSET(U32,0,-(COLUMN()-1),1,COLUMN()))+SUM(OFFSET(U48,0,-(COLUMN()-1),1,COLUMN()-规则表!$F$19))+SUMPRODUCT((IFERROR(OFFSET(U48,0,-(规则表!$F$19-1),1,规则表!$F$18),0)&lt;0)*IFERROR(FFSET(U48,0,-(规则表!$F$19-1),1,规则表!$F$19),0))</f>
        <v>0</v>
      </c>
      <c r="V84" s="115" cm="1">
        <f t="array" aca="1" ref="V84" ca="1">SUM(OFFSET(V16,0,-(COLUMN()-1),1,COLUMN()-规则表!$C$19))-SUM(OFFSET(V32,0,-(COLUMN()-1),1,COLUMN()))+SUM(OFFSET(V48,0,-(COLUMN()-1),1,COLUMN()-规则表!$F$19))+SUMPRODUCT((IFERROR(OFFSET(V48,0,-(规则表!$F$19-1),1,规则表!$F$18),0)&lt;0)*IFERROR(FFSET(V48,0,-(规则表!$F$19-1),1,规则表!$F$19),0))</f>
        <v>0</v>
      </c>
      <c r="W84" s="115" cm="1">
        <f t="array" aca="1" ref="W84" ca="1">SUM(OFFSET(W16,0,-(COLUMN()-1),1,COLUMN()-规则表!$C$19))-SUM(OFFSET(W32,0,-(COLUMN()-1),1,COLUMN()))+SUM(OFFSET(W48,0,-(COLUMN()-1),1,COLUMN()-规则表!$F$19))+SUMPRODUCT((IFERROR(OFFSET(W48,0,-(规则表!$F$19-1),1,规则表!$F$18),0)&lt;0)*IFERROR(FFSET(W48,0,-(规则表!$F$19-1),1,规则表!$F$19),0))</f>
        <v>0</v>
      </c>
      <c r="X84" s="116" cm="1">
        <f t="array" aca="1" ref="X84" ca="1">SUM(OFFSET(X16,0,-(COLUMN()-1),1,COLUMN()-规则表!$C$19))-SUM(OFFSET(X32,0,-(COLUMN()-1),1,COLUMN()))+SUM(OFFSET(X48,0,-(COLUMN()-1),1,COLUMN()-规则表!$F$19))+SUMPRODUCT((IFERROR(OFFSET(X48,0,-(规则表!$F$19-1),1,规则表!$F$18),0)&lt;0)*IFERROR(FFSET(X48,0,-(规则表!$F$19-1),1,规则表!$F$19),0))</f>
        <v>0</v>
      </c>
    </row>
    <row r="85" spans="1:24">
      <c r="A85" s="357"/>
      <c r="B85" s="356"/>
      <c r="C85" s="90" t="s">
        <v>191</v>
      </c>
      <c r="D85" s="91"/>
      <c r="E85" s="91"/>
      <c r="F85" s="91"/>
      <c r="G85" s="91"/>
      <c r="H85" s="91"/>
      <c r="I85" s="109" cm="1">
        <f t="array" aca="1" ref="I85" ca="1">SUM(OFFSET(I17,0,-(COLUMN()-1),1,COLUMN()-规则表!$C$19))-SUM(OFFSET(I33,0,-(COLUMN()-1),1,COLUMN()))+SUM(OFFSET(I49,0,-(COLUMN()-1),1,COLUMN()-规则表!$F$19))+SUMPRODUCT((IFERROR(OFFSET(I49,0,-(规则表!$F$19-1),1,规则表!$F$18),0)&lt;0)*IFERROR(FFSET(I49,0,-(规则表!$F$19-1),1,规则表!$F$19),0))</f>
        <v>0</v>
      </c>
      <c r="J85" s="115" cm="1">
        <f t="array" aca="1" ref="J85" ca="1">SUM(OFFSET(J17,0,-(COLUMN()-1),1,COLUMN()-规则表!$C$19))-SUM(OFFSET(J33,0,-(COLUMN()-1),1,COLUMN()))+SUM(OFFSET(J49,0,-(COLUMN()-1),1,COLUMN()-规则表!$F$19))+SUMPRODUCT((IFERROR(OFFSET(J49,0,-(规则表!$F$19-1),1,规则表!$F$18),0)&lt;0)*IFERROR(FFSET(J49,0,-(规则表!$F$19-1),1,规则表!$F$19),0))</f>
        <v>0</v>
      </c>
      <c r="K85" s="115" cm="1">
        <f t="array" aca="1" ref="K85" ca="1">SUM(OFFSET(K17,0,-(COLUMN()-1),1,COLUMN()-规则表!$C$19))-SUM(OFFSET(K33,0,-(COLUMN()-1),1,COLUMN()))+SUM(OFFSET(K49,0,-(COLUMN()-1),1,COLUMN()-规则表!$F$19))+SUMPRODUCT((IFERROR(OFFSET(K49,0,-(规则表!$F$19-1),1,规则表!$F$18),0)&lt;0)*IFERROR(FFSET(K49,0,-(规则表!$F$19-1),1,规则表!$F$19),0))</f>
        <v>0</v>
      </c>
      <c r="L85" s="116" cm="1">
        <f t="array" aca="1" ref="L85" ca="1">SUM(OFFSET(L17,0,-(COLUMN()-1),1,COLUMN()-规则表!$C$19))-SUM(OFFSET(L33,0,-(COLUMN()-1),1,COLUMN()))+SUM(OFFSET(L49,0,-(COLUMN()-1),1,COLUMN()-规则表!$F$19))+SUMPRODUCT((IFERROR(OFFSET(L49,0,-(规则表!$F$19-1),1,规则表!$F$18),0)&lt;0)*IFERROR(FFSET(L49,0,-(规则表!$F$19-1),1,规则表!$F$19),0))</f>
        <v>0</v>
      </c>
      <c r="M85" s="109" cm="1">
        <f t="array" aca="1" ref="M85" ca="1">SUM(OFFSET(M17,0,-(COLUMN()-1),1,COLUMN()-规则表!$C$19))-SUM(OFFSET(M33,0,-(COLUMN()-1),1,COLUMN()))+SUM(OFFSET(M49,0,-(COLUMN()-1),1,COLUMN()-规则表!$F$19))+SUMPRODUCT((IFERROR(OFFSET(M49,0,-(规则表!$F$19-1),1,规则表!$F$18),0)&lt;0)*IFERROR(FFSET(M49,0,-(规则表!$F$19-1),1,规则表!$F$19),0))</f>
        <v>0</v>
      </c>
      <c r="N85" s="115" cm="1">
        <f t="array" aca="1" ref="N85" ca="1">SUM(OFFSET(N17,0,-(COLUMN()-1),1,COLUMN()-规则表!$C$19))-SUM(OFFSET(N33,0,-(COLUMN()-1),1,COLUMN()))+SUM(OFFSET(N49,0,-(COLUMN()-1),1,COLUMN()-规则表!$F$19))+SUMPRODUCT((IFERROR(OFFSET(N49,0,-(规则表!$F$19-1),1,规则表!$F$18),0)&lt;0)*IFERROR(FFSET(N49,0,-(规则表!$F$19-1),1,规则表!$F$19),0))</f>
        <v>0</v>
      </c>
      <c r="O85" s="115" cm="1">
        <f t="array" aca="1" ref="O85" ca="1">SUM(OFFSET(O17,0,-(COLUMN()-1),1,COLUMN()-规则表!$C$19))-SUM(OFFSET(O33,0,-(COLUMN()-1),1,COLUMN()))+SUM(OFFSET(O49,0,-(COLUMN()-1),1,COLUMN()-规则表!$F$19))+SUMPRODUCT((IFERROR(OFFSET(O49,0,-(规则表!$F$19-1),1,规则表!$F$18),0)&lt;0)*IFERROR(FFSET(O49,0,-(规则表!$F$19-1),1,规则表!$F$19),0))</f>
        <v>0</v>
      </c>
      <c r="P85" s="116" cm="1">
        <f t="array" aca="1" ref="P85" ca="1">SUM(OFFSET(P17,0,-(COLUMN()-1),1,COLUMN()-规则表!$C$19))-SUM(OFFSET(P33,0,-(COLUMN()-1),1,COLUMN()))+SUM(OFFSET(P49,0,-(COLUMN()-1),1,COLUMN()-规则表!$F$19))+SUMPRODUCT((IFERROR(OFFSET(P49,0,-(规则表!$F$19-1),1,规则表!$F$18),0)&lt;0)*IFERROR(FFSET(P49,0,-(规则表!$F$19-1),1,规则表!$F$19),0))</f>
        <v>0</v>
      </c>
      <c r="Q85" s="109" cm="1">
        <f t="array" aca="1" ref="Q85" ca="1">SUM(OFFSET(Q17,0,-(COLUMN()-1),1,COLUMN()-规则表!$C$19))-SUM(OFFSET(Q33,0,-(COLUMN()-1),1,COLUMN()))+SUM(OFFSET(Q49,0,-(COLUMN()-1),1,COLUMN()-规则表!$F$19))+SUMPRODUCT((IFERROR(OFFSET(Q49,0,-(规则表!$F$19-1),1,规则表!$F$18),0)&lt;0)*IFERROR(FFSET(Q49,0,-(规则表!$F$19-1),1,规则表!$F$19),0))</f>
        <v>0</v>
      </c>
      <c r="R85" s="115" cm="1">
        <f t="array" aca="1" ref="R85" ca="1">SUM(OFFSET(R17,0,-(COLUMN()-1),1,COLUMN()-规则表!$C$19))-SUM(OFFSET(R33,0,-(COLUMN()-1),1,COLUMN()))+SUM(OFFSET(R49,0,-(COLUMN()-1),1,COLUMN()-规则表!$F$19))+SUMPRODUCT((IFERROR(OFFSET(R49,0,-(规则表!$F$19-1),1,规则表!$F$18),0)&lt;0)*IFERROR(FFSET(R49,0,-(规则表!$F$19-1),1,规则表!$F$19),0))</f>
        <v>0</v>
      </c>
      <c r="S85" s="115" cm="1">
        <f t="array" aca="1" ref="S85" ca="1">SUM(OFFSET(S17,0,-(COLUMN()-1),1,COLUMN()-规则表!$C$19))-SUM(OFFSET(S33,0,-(COLUMN()-1),1,COLUMN()))+SUM(OFFSET(S49,0,-(COLUMN()-1),1,COLUMN()-规则表!$F$19))+SUMPRODUCT((IFERROR(OFFSET(S49,0,-(规则表!$F$19-1),1,规则表!$F$18),0)&lt;0)*IFERROR(FFSET(S49,0,-(规则表!$F$19-1),1,规则表!$F$19),0))</f>
        <v>0</v>
      </c>
      <c r="T85" s="116" cm="1">
        <f t="array" aca="1" ref="T85" ca="1">SUM(OFFSET(T17,0,-(COLUMN()-1),1,COLUMN()-规则表!$C$19))-SUM(OFFSET(T33,0,-(COLUMN()-1),1,COLUMN()))+SUM(OFFSET(T49,0,-(COLUMN()-1),1,COLUMN()-规则表!$F$19))+SUMPRODUCT((IFERROR(OFFSET(T49,0,-(规则表!$F$19-1),1,规则表!$F$18),0)&lt;0)*IFERROR(FFSET(T49,0,-(规则表!$F$19-1),1,规则表!$F$19),0))</f>
        <v>0</v>
      </c>
      <c r="U85" s="109" cm="1">
        <f t="array" aca="1" ref="U85" ca="1">SUM(OFFSET(U17,0,-(COLUMN()-1),1,COLUMN()-规则表!$C$19))-SUM(OFFSET(U33,0,-(COLUMN()-1),1,COLUMN()))+SUM(OFFSET(U49,0,-(COLUMN()-1),1,COLUMN()-规则表!$F$19))+SUMPRODUCT((IFERROR(OFFSET(U49,0,-(规则表!$F$19-1),1,规则表!$F$18),0)&lt;0)*IFERROR(FFSET(U49,0,-(规则表!$F$19-1),1,规则表!$F$19),0))</f>
        <v>0</v>
      </c>
      <c r="V85" s="115" cm="1">
        <f t="array" aca="1" ref="V85" ca="1">SUM(OFFSET(V17,0,-(COLUMN()-1),1,COLUMN()-规则表!$C$19))-SUM(OFFSET(V33,0,-(COLUMN()-1),1,COLUMN()))+SUM(OFFSET(V49,0,-(COLUMN()-1),1,COLUMN()-规则表!$F$19))+SUMPRODUCT((IFERROR(OFFSET(V49,0,-(规则表!$F$19-1),1,规则表!$F$18),0)&lt;0)*IFERROR(FFSET(V49,0,-(规则表!$F$19-1),1,规则表!$F$19),0))</f>
        <v>0</v>
      </c>
      <c r="W85" s="115" cm="1">
        <f t="array" aca="1" ref="W85" ca="1">SUM(OFFSET(W17,0,-(COLUMN()-1),1,COLUMN()-规则表!$C$19))-SUM(OFFSET(W33,0,-(COLUMN()-1),1,COLUMN()))+SUM(OFFSET(W49,0,-(COLUMN()-1),1,COLUMN()-规则表!$F$19))+SUMPRODUCT((IFERROR(OFFSET(W49,0,-(规则表!$F$19-1),1,规则表!$F$18),0)&lt;0)*IFERROR(FFSET(W49,0,-(规则表!$F$19-1),1,规则表!$F$19),0))</f>
        <v>0</v>
      </c>
      <c r="X85" s="116" cm="1">
        <f t="array" aca="1" ref="X85" ca="1">SUM(OFFSET(X17,0,-(COLUMN()-1),1,COLUMN()-规则表!$C$19))-SUM(OFFSET(X33,0,-(COLUMN()-1),1,COLUMN()))+SUM(OFFSET(X49,0,-(COLUMN()-1),1,COLUMN()-规则表!$F$19))+SUMPRODUCT((IFERROR(OFFSET(X49,0,-(规则表!$F$19-1),1,规则表!$F$18),0)&lt;0)*IFERROR(FFSET(X49,0,-(规则表!$F$19-1),1,规则表!$F$19),0))</f>
        <v>0</v>
      </c>
    </row>
    <row r="86" spans="1:24">
      <c r="A86" s="357"/>
      <c r="B86" s="356"/>
      <c r="C86" s="90" t="s">
        <v>192</v>
      </c>
      <c r="D86" s="91"/>
      <c r="E86" s="91"/>
      <c r="F86" s="91"/>
      <c r="G86" s="91"/>
      <c r="H86" s="91"/>
      <c r="I86" s="110" cm="1">
        <f t="array" aca="1" ref="I86" ca="1">SUM(OFFSET(I18,0,-(COLUMN()-1),1,COLUMN()-规则表!$C$19))-SUM(OFFSET(I34,0,-(COLUMN()-1),1,COLUMN()))+SUM(OFFSET(I50,0,-(COLUMN()-1),1,COLUMN()-规则表!$F$19))+SUMPRODUCT((IFERROR(OFFSET(I50,0,-(规则表!$F$19-1),1,规则表!$F$18),0)&lt;0)*IFERROR(FFSET(I50,0,-(规则表!$F$19-1),1,规则表!$F$19),0))</f>
        <v>0</v>
      </c>
      <c r="J86" s="117" cm="1">
        <f t="array" aca="1" ref="J86" ca="1">SUM(OFFSET(J18,0,-(COLUMN()-1),1,COLUMN()-规则表!$C$19))-SUM(OFFSET(J34,0,-(COLUMN()-1),1,COLUMN()))+SUM(OFFSET(J50,0,-(COLUMN()-1),1,COLUMN()-规则表!$F$19))+SUMPRODUCT((IFERROR(OFFSET(J50,0,-(规则表!$F$19-1),1,规则表!$F$18),0)&lt;0)*IFERROR(FFSET(J50,0,-(规则表!$F$19-1),1,规则表!$F$19),0))</f>
        <v>0</v>
      </c>
      <c r="K86" s="117" cm="1">
        <f t="array" aca="1" ref="K86" ca="1">SUM(OFFSET(K18,0,-(COLUMN()-1),1,COLUMN()-规则表!$C$19))-SUM(OFFSET(K34,0,-(COLUMN()-1),1,COLUMN()))+SUM(OFFSET(K50,0,-(COLUMN()-1),1,COLUMN()-规则表!$F$19))+SUMPRODUCT((IFERROR(OFFSET(K50,0,-(规则表!$F$19-1),1,规则表!$F$18),0)&lt;0)*IFERROR(FFSET(K50,0,-(规则表!$F$19-1),1,规则表!$F$19),0))</f>
        <v>0</v>
      </c>
      <c r="L86" s="118" cm="1">
        <f t="array" aca="1" ref="L86" ca="1">SUM(OFFSET(L18,0,-(COLUMN()-1),1,COLUMN()-规则表!$C$19))-SUM(OFFSET(L34,0,-(COLUMN()-1),1,COLUMN()))+SUM(OFFSET(L50,0,-(COLUMN()-1),1,COLUMN()-规则表!$F$19))+SUMPRODUCT((IFERROR(OFFSET(L50,0,-(规则表!$F$19-1),1,规则表!$F$18),0)&lt;0)*IFERROR(FFSET(L50,0,-(规则表!$F$19-1),1,规则表!$F$19),0))</f>
        <v>0</v>
      </c>
      <c r="M86" s="110" cm="1">
        <f t="array" aca="1" ref="M86" ca="1">SUM(OFFSET(M18,0,-(COLUMN()-1),1,COLUMN()-规则表!$C$19))-SUM(OFFSET(M34,0,-(COLUMN()-1),1,COLUMN()))+SUM(OFFSET(M50,0,-(COLUMN()-1),1,COLUMN()-规则表!$F$19))+SUMPRODUCT((IFERROR(OFFSET(M50,0,-(规则表!$F$19-1),1,规则表!$F$18),0)&lt;0)*IFERROR(FFSET(M50,0,-(规则表!$F$19-1),1,规则表!$F$19),0))</f>
        <v>0</v>
      </c>
      <c r="N86" s="117" cm="1">
        <f t="array" aca="1" ref="N86" ca="1">SUM(OFFSET(N18,0,-(COLUMN()-1),1,COLUMN()-规则表!$C$19))-SUM(OFFSET(N34,0,-(COLUMN()-1),1,COLUMN()))+SUM(OFFSET(N50,0,-(COLUMN()-1),1,COLUMN()-规则表!$F$19))+SUMPRODUCT((IFERROR(OFFSET(N50,0,-(规则表!$F$19-1),1,规则表!$F$18),0)&lt;0)*IFERROR(FFSET(N50,0,-(规则表!$F$19-1),1,规则表!$F$19),0))</f>
        <v>0</v>
      </c>
      <c r="O86" s="117" cm="1">
        <f t="array" aca="1" ref="O86" ca="1">SUM(OFFSET(O18,0,-(COLUMN()-1),1,COLUMN()-规则表!$C$19))-SUM(OFFSET(O34,0,-(COLUMN()-1),1,COLUMN()))+SUM(OFFSET(O50,0,-(COLUMN()-1),1,COLUMN()-规则表!$F$19))+SUMPRODUCT((IFERROR(OFFSET(O50,0,-(规则表!$F$19-1),1,规则表!$F$18),0)&lt;0)*IFERROR(FFSET(O50,0,-(规则表!$F$19-1),1,规则表!$F$19),0))</f>
        <v>0</v>
      </c>
      <c r="P86" s="118" cm="1">
        <f t="array" aca="1" ref="P86" ca="1">SUM(OFFSET(P18,0,-(COLUMN()-1),1,COLUMN()-规则表!$C$19))-SUM(OFFSET(P34,0,-(COLUMN()-1),1,COLUMN()))+SUM(OFFSET(P50,0,-(COLUMN()-1),1,COLUMN()-规则表!$F$19))+SUMPRODUCT((IFERROR(OFFSET(P50,0,-(规则表!$F$19-1),1,规则表!$F$18),0)&lt;0)*IFERROR(FFSET(P50,0,-(规则表!$F$19-1),1,规则表!$F$19),0))</f>
        <v>0</v>
      </c>
      <c r="Q86" s="110" cm="1">
        <f t="array" aca="1" ref="Q86" ca="1">SUM(OFFSET(Q18,0,-(COLUMN()-1),1,COLUMN()-规则表!$C$19))-SUM(OFFSET(Q34,0,-(COLUMN()-1),1,COLUMN()))+SUM(OFFSET(Q50,0,-(COLUMN()-1),1,COLUMN()-规则表!$F$19))+SUMPRODUCT((IFERROR(OFFSET(Q50,0,-(规则表!$F$19-1),1,规则表!$F$18),0)&lt;0)*IFERROR(FFSET(Q50,0,-(规则表!$F$19-1),1,规则表!$F$19),0))</f>
        <v>0</v>
      </c>
      <c r="R86" s="117" cm="1">
        <f t="array" aca="1" ref="R86" ca="1">SUM(OFFSET(R18,0,-(COLUMN()-1),1,COLUMN()-规则表!$C$19))-SUM(OFFSET(R34,0,-(COLUMN()-1),1,COLUMN()))+SUM(OFFSET(R50,0,-(COLUMN()-1),1,COLUMN()-规则表!$F$19))+SUMPRODUCT((IFERROR(OFFSET(R50,0,-(规则表!$F$19-1),1,规则表!$F$18),0)&lt;0)*IFERROR(FFSET(R50,0,-(规则表!$F$19-1),1,规则表!$F$19),0))</f>
        <v>0</v>
      </c>
      <c r="S86" s="117" cm="1">
        <f t="array" aca="1" ref="S86" ca="1">SUM(OFFSET(S18,0,-(COLUMN()-1),1,COLUMN()-规则表!$C$19))-SUM(OFFSET(S34,0,-(COLUMN()-1),1,COLUMN()))+SUM(OFFSET(S50,0,-(COLUMN()-1),1,COLUMN()-规则表!$F$19))+SUMPRODUCT((IFERROR(OFFSET(S50,0,-(规则表!$F$19-1),1,规则表!$F$18),0)&lt;0)*IFERROR(FFSET(S50,0,-(规则表!$F$19-1),1,规则表!$F$19),0))</f>
        <v>0</v>
      </c>
      <c r="T86" s="118" cm="1">
        <f t="array" aca="1" ref="T86" ca="1">SUM(OFFSET(T18,0,-(COLUMN()-1),1,COLUMN()-规则表!$C$19))-SUM(OFFSET(T34,0,-(COLUMN()-1),1,COLUMN()))+SUM(OFFSET(T50,0,-(COLUMN()-1),1,COLUMN()-规则表!$F$19))+SUMPRODUCT((IFERROR(OFFSET(T50,0,-(规则表!$F$19-1),1,规则表!$F$18),0)&lt;0)*IFERROR(FFSET(T50,0,-(规则表!$F$19-1),1,规则表!$F$19),0))</f>
        <v>0</v>
      </c>
      <c r="U86" s="110" cm="1">
        <f t="array" aca="1" ref="U86" ca="1">SUM(OFFSET(U18,0,-(COLUMN()-1),1,COLUMN()-规则表!$C$19))-SUM(OFFSET(U34,0,-(COLUMN()-1),1,COLUMN()))+SUM(OFFSET(U50,0,-(COLUMN()-1),1,COLUMN()-规则表!$F$19))+SUMPRODUCT((IFERROR(OFFSET(U50,0,-(规则表!$F$19-1),1,规则表!$F$18),0)&lt;0)*IFERROR(FFSET(U50,0,-(规则表!$F$19-1),1,规则表!$F$19),0))</f>
        <v>0</v>
      </c>
      <c r="V86" s="117" cm="1">
        <f t="array" aca="1" ref="V86" ca="1">SUM(OFFSET(V18,0,-(COLUMN()-1),1,COLUMN()-规则表!$C$19))-SUM(OFFSET(V34,0,-(COLUMN()-1),1,COLUMN()))+SUM(OFFSET(V50,0,-(COLUMN()-1),1,COLUMN()-规则表!$F$19))+SUMPRODUCT((IFERROR(OFFSET(V50,0,-(规则表!$F$19-1),1,规则表!$F$18),0)&lt;0)*IFERROR(FFSET(V50,0,-(规则表!$F$19-1),1,规则表!$F$19),0))</f>
        <v>0</v>
      </c>
      <c r="W86" s="117" cm="1">
        <f t="array" aca="1" ref="W86" ca="1">SUM(OFFSET(W18,0,-(COLUMN()-1),1,COLUMN()-规则表!$C$19))-SUM(OFFSET(W34,0,-(COLUMN()-1),1,COLUMN()))+SUM(OFFSET(W50,0,-(COLUMN()-1),1,COLUMN()-规则表!$F$19))+SUMPRODUCT((IFERROR(OFFSET(W50,0,-(规则表!$F$19-1),1,规则表!$F$18),0)&lt;0)*IFERROR(FFSET(W50,0,-(规则表!$F$19-1),1,规则表!$F$19),0))</f>
        <v>0</v>
      </c>
      <c r="X86" s="118" cm="1">
        <f t="array" aca="1" ref="X86" ca="1">SUM(OFFSET(X18,0,-(COLUMN()-1),1,COLUMN()-规则表!$C$19))-SUM(OFFSET(X34,0,-(COLUMN()-1),1,COLUMN()))+SUM(OFFSET(X50,0,-(COLUMN()-1),1,COLUMN()-规则表!$F$19))+SUMPRODUCT((IFERROR(OFFSET(X50,0,-(规则表!$F$19-1),1,规则表!$F$18),0)&lt;0)*IFERROR(FFSET(X50,0,-(规则表!$F$19-1),1,规则表!$F$19),0))</f>
        <v>0</v>
      </c>
    </row>
    <row r="88" spans="1:24">
      <c r="I88">
        <f>COLUMN()</f>
        <v>9</v>
      </c>
    </row>
    <row r="89" spans="1:24">
      <c r="B89" s="356" t="s">
        <v>206</v>
      </c>
      <c r="C89" s="90" t="s">
        <v>203</v>
      </c>
      <c r="D89" s="91"/>
      <c r="E89" s="91"/>
      <c r="F89" s="91"/>
      <c r="G89" s="91"/>
      <c r="H89" s="91"/>
      <c r="I89" s="108">
        <f ca="1">SUM(I72:I76)</f>
        <v>10</v>
      </c>
      <c r="J89" s="108">
        <f t="shared" ref="J89:X89" ca="1" si="9">SUM(J72:J76)</f>
        <v>10</v>
      </c>
      <c r="K89" s="108">
        <f t="shared" ca="1" si="9"/>
        <v>10</v>
      </c>
      <c r="L89" s="108">
        <f t="shared" ca="1" si="9"/>
        <v>10</v>
      </c>
      <c r="M89" s="108">
        <f t="shared" ca="1" si="9"/>
        <v>10</v>
      </c>
      <c r="N89" s="108">
        <f t="shared" ca="1" si="9"/>
        <v>10</v>
      </c>
      <c r="O89" s="108">
        <f t="shared" ca="1" si="9"/>
        <v>10</v>
      </c>
      <c r="P89" s="108">
        <f t="shared" ca="1" si="9"/>
        <v>10</v>
      </c>
      <c r="Q89" s="108">
        <f t="shared" ca="1" si="9"/>
        <v>10</v>
      </c>
      <c r="R89" s="108">
        <f t="shared" ca="1" si="9"/>
        <v>10</v>
      </c>
      <c r="S89" s="108">
        <f t="shared" ca="1" si="9"/>
        <v>10</v>
      </c>
      <c r="T89" s="108">
        <f t="shared" ca="1" si="9"/>
        <v>10</v>
      </c>
      <c r="U89" s="108">
        <f t="shared" ca="1" si="9"/>
        <v>10</v>
      </c>
      <c r="V89" s="108">
        <f t="shared" ca="1" si="9"/>
        <v>10</v>
      </c>
      <c r="W89" s="108">
        <f t="shared" ca="1" si="9"/>
        <v>10</v>
      </c>
      <c r="X89" s="108">
        <f t="shared" ca="1" si="9"/>
        <v>10</v>
      </c>
    </row>
    <row r="90" spans="1:24">
      <c r="B90" s="356"/>
      <c r="C90" s="90" t="s">
        <v>36</v>
      </c>
      <c r="D90" s="91"/>
      <c r="E90" s="91"/>
      <c r="F90" s="91"/>
      <c r="G90" s="91"/>
      <c r="H90" s="91"/>
      <c r="I90" s="109">
        <f ca="1">SUM(I77:I81)</f>
        <v>0</v>
      </c>
      <c r="J90" s="109">
        <f ca="1">SUM(J77:J81)</f>
        <v>0</v>
      </c>
      <c r="K90" s="109">
        <f t="shared" ref="K90:X90" ca="1" si="10">SUM(K77:K81)</f>
        <v>0</v>
      </c>
      <c r="L90" s="109">
        <f t="shared" ca="1" si="10"/>
        <v>0</v>
      </c>
      <c r="M90" s="109">
        <f t="shared" ca="1" si="10"/>
        <v>0</v>
      </c>
      <c r="N90" s="109">
        <f t="shared" ca="1" si="10"/>
        <v>0</v>
      </c>
      <c r="O90" s="109">
        <f t="shared" ca="1" si="10"/>
        <v>0</v>
      </c>
      <c r="P90" s="109">
        <f t="shared" ca="1" si="10"/>
        <v>0</v>
      </c>
      <c r="Q90" s="109">
        <f t="shared" ca="1" si="10"/>
        <v>0</v>
      </c>
      <c r="R90" s="109">
        <f t="shared" ca="1" si="10"/>
        <v>0</v>
      </c>
      <c r="S90" s="109">
        <f t="shared" ca="1" si="10"/>
        <v>0</v>
      </c>
      <c r="T90" s="109">
        <f t="shared" ca="1" si="10"/>
        <v>0</v>
      </c>
      <c r="U90" s="109">
        <f t="shared" ca="1" si="10"/>
        <v>0</v>
      </c>
      <c r="V90" s="109">
        <f t="shared" ca="1" si="10"/>
        <v>0</v>
      </c>
      <c r="W90" s="109">
        <f t="shared" ca="1" si="10"/>
        <v>0</v>
      </c>
      <c r="X90" s="109">
        <f t="shared" ca="1" si="10"/>
        <v>0</v>
      </c>
    </row>
    <row r="91" spans="1:24">
      <c r="B91" s="356"/>
      <c r="C91" s="90" t="s">
        <v>37</v>
      </c>
      <c r="D91" s="91"/>
      <c r="E91" s="91"/>
      <c r="F91" s="91"/>
      <c r="G91" s="91"/>
      <c r="H91" s="91"/>
      <c r="I91" s="110">
        <f ca="1">SUM(I82:I86)</f>
        <v>0</v>
      </c>
      <c r="J91" s="110">
        <f t="shared" ref="J91:X91" ca="1" si="11">SUM(J82:J86)</f>
        <v>0</v>
      </c>
      <c r="K91" s="110">
        <f t="shared" ca="1" si="11"/>
        <v>0</v>
      </c>
      <c r="L91" s="110">
        <f t="shared" ca="1" si="11"/>
        <v>0</v>
      </c>
      <c r="M91" s="110">
        <f t="shared" ca="1" si="11"/>
        <v>0</v>
      </c>
      <c r="N91" s="110">
        <f t="shared" ca="1" si="11"/>
        <v>0</v>
      </c>
      <c r="O91" s="110">
        <f t="shared" ca="1" si="11"/>
        <v>0</v>
      </c>
      <c r="P91" s="110">
        <f t="shared" ca="1" si="11"/>
        <v>0</v>
      </c>
      <c r="Q91" s="110">
        <f t="shared" ca="1" si="11"/>
        <v>0</v>
      </c>
      <c r="R91" s="110">
        <f t="shared" ca="1" si="11"/>
        <v>0</v>
      </c>
      <c r="S91" s="110">
        <f t="shared" ca="1" si="11"/>
        <v>0</v>
      </c>
      <c r="T91" s="110">
        <f t="shared" ca="1" si="11"/>
        <v>0</v>
      </c>
      <c r="U91" s="110">
        <f t="shared" ca="1" si="11"/>
        <v>0</v>
      </c>
      <c r="V91" s="110">
        <f t="shared" ca="1" si="11"/>
        <v>0</v>
      </c>
      <c r="W91" s="110">
        <f t="shared" ca="1" si="11"/>
        <v>0</v>
      </c>
      <c r="X91" s="110">
        <f t="shared" ca="1" si="11"/>
        <v>0</v>
      </c>
    </row>
    <row r="94" spans="1:24">
      <c r="A94" s="357" t="s">
        <v>207</v>
      </c>
      <c r="B94" s="356" t="s">
        <v>35</v>
      </c>
      <c r="C94" s="90" t="s">
        <v>188</v>
      </c>
      <c r="D94" s="91"/>
      <c r="E94" s="91"/>
      <c r="F94" s="91"/>
      <c r="G94" s="91"/>
      <c r="H94" s="91"/>
      <c r="I94" s="108" cm="1">
        <f t="array" ref="I94">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</f>
        <v>0</v>
      </c>
      <c r="J94" s="112" cm="1">
        <f t="array" ref="J94">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</f>
        <v>0</v>
      </c>
      <c r="K94" s="112" cm="1">
        <f t="array" ref="K94">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</f>
        <v>0</v>
      </c>
      <c r="L94" s="113" cm="1">
        <f t="array" ref="L94">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</f>
        <v>0</v>
      </c>
      <c r="M94" s="108" cm="1">
        <f t="array" ref="M94">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</f>
        <v>0</v>
      </c>
      <c r="N94" s="112" cm="1">
        <f t="array" ref="N94">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</f>
        <v>0</v>
      </c>
      <c r="O94" s="112" cm="1">
        <f t="array" ref="O94">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</f>
        <v>0</v>
      </c>
      <c r="P94" s="113" cm="1">
        <f t="array" ref="P94">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</f>
        <v>0</v>
      </c>
      <c r="Q94" s="108" cm="1">
        <f t="array" ref="Q94">IF(Q$109,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,0)</f>
        <v>0</v>
      </c>
      <c r="R94" s="112" cm="1">
        <f t="array" ref="R94">IF(R$109,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,0)</f>
        <v>0</v>
      </c>
      <c r="S94" s="112" cm="1">
        <f t="array" ref="S94">IF(S$109,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,0)</f>
        <v>0</v>
      </c>
      <c r="T94" s="113" cm="1">
        <f t="array" ref="T94">IF(T$109,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,0)</f>
        <v>0</v>
      </c>
      <c r="U94" s="108" cm="1">
        <f t="array" ref="U94">IF(U$109,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,0)</f>
        <v>0</v>
      </c>
      <c r="V94" s="112" cm="1">
        <f t="array" ref="V94">IF(V$109,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,0)</f>
        <v>0</v>
      </c>
      <c r="W94" s="112" cm="1">
        <f t="array" ref="W94">IF(W$109,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,0)</f>
        <v>0</v>
      </c>
      <c r="X94" s="113" cm="1">
        <f t="array" ref="X94">IF(X$109,SUMPRODUCT(IF(MOD((COLUMN()-规则表!$C$17-COLUMN($D4:INDEX(4:4,COLUMN()-规则表!$C$17)))/规则表!$D$17,1)=0,$D4:INDEX(4:4,COLUMN()-规则表!$C$17),0))-SUMPRODUCT(IF(MOD((COLUMN()-COLUMN($D20:INDEX(20:20,COLUMN())))/规则表!$D$17,1)=0,$D20:INDEX(20:20,COLUMN()),0))+SUMPRODUCT(($I36:INDEX(36:36,COLUMN())&lt;0)*(MOD((COLUMN()-COLUMN($I36:INDEX(36:36,COLUMN())))/规则表!$D$17,1)=0)*($I36:INDEX(36:36,COLUMN())))+SUMPRODUCT(($I36:INDEX(36:36,COLUMN()-规则表!$F$17)&gt;0)*(MOD((COLUMN()-规则表!$F$17-COLUMN($I36:INDEX(36:36,COLUMN()-规则表!$F$17)))/规则表!$D$17,1)=0)*($I36:INDEX(36:36,COLUMN()-规则表!$F$17))),0)</f>
        <v>0</v>
      </c>
    </row>
    <row r="95" spans="1:24">
      <c r="A95" s="357"/>
      <c r="B95" s="356"/>
      <c r="C95" s="90" t="s">
        <v>189</v>
      </c>
      <c r="D95" s="114"/>
      <c r="E95" s="114"/>
      <c r="F95" s="114"/>
      <c r="G95" s="114"/>
      <c r="H95" s="114"/>
      <c r="I95" s="109" cm="1">
        <f t="array" ref="I95">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</f>
        <v>0</v>
      </c>
      <c r="J95" s="115" cm="1">
        <f t="array" ref="J95">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</f>
        <v>0</v>
      </c>
      <c r="K95" s="115" cm="1">
        <f t="array" ref="K95">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</f>
        <v>0</v>
      </c>
      <c r="L95" s="116" cm="1">
        <f t="array" ref="L95">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</f>
        <v>0</v>
      </c>
      <c r="M95" s="109" cm="1">
        <f t="array" ref="M95">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</f>
        <v>0</v>
      </c>
      <c r="N95" s="115" cm="1">
        <f t="array" ref="N95">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</f>
        <v>0</v>
      </c>
      <c r="O95" s="115" cm="1">
        <f t="array" ref="O95">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</f>
        <v>0</v>
      </c>
      <c r="P95" s="116" cm="1">
        <f t="array" ref="P95">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</f>
        <v>0</v>
      </c>
      <c r="Q95" s="109" cm="1">
        <f t="array" ref="Q95">IF(Q$109,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,0)</f>
        <v>0</v>
      </c>
      <c r="R95" s="115" cm="1">
        <f t="array" ref="R95">IF(R$109,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,0)</f>
        <v>0</v>
      </c>
      <c r="S95" s="115" cm="1">
        <f t="array" ref="S95">IF(S$109,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,0)</f>
        <v>0</v>
      </c>
      <c r="T95" s="116" cm="1">
        <f t="array" ref="T95">IF(T$109,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,0)</f>
        <v>0</v>
      </c>
      <c r="U95" s="109" cm="1">
        <f t="array" ref="U95">IF(U$109,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,0)</f>
        <v>0</v>
      </c>
      <c r="V95" s="115" cm="1">
        <f t="array" ref="V95">IF(V$109,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,0)</f>
        <v>0</v>
      </c>
      <c r="W95" s="115" cm="1">
        <f t="array" ref="W95">IF(W$109,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,0)</f>
        <v>0</v>
      </c>
      <c r="X95" s="116" cm="1">
        <f t="array" ref="X95">IF(X$109,SUMPRODUCT(IF(MOD((COLUMN()-规则表!$C$17-COLUMN($D5:INDEX(5:5,COLUMN()-规则表!$C$17)))/规则表!$D$17,1)=0,$D5:INDEX(5:5,COLUMN()-规则表!$C$17),0))-SUMPRODUCT(IF(MOD((COLUMN()-COLUMN($D21:INDEX(21:21,COLUMN())))/规则表!$D$17,1)=0,$D21:INDEX(21:21,COLUMN()),0))+SUMPRODUCT(($I37:INDEX(37:37,COLUMN())&lt;0)*(MOD((COLUMN()-COLUMN($I37:INDEX(37:37,COLUMN())))/规则表!$D$17,1)=0)*($I37:INDEX(37:37,COLUMN())))+SUMPRODUCT(($I37:INDEX(37:37,COLUMN()-规则表!$F$17)&gt;0)*(MOD((COLUMN()-规则表!$F$17-COLUMN($I37:INDEX(37:37,COLUMN()-规则表!$F$17)))/规则表!$D$17,1)=0)*($I37:INDEX(37:37,COLUMN()-规则表!$F$17))),0)</f>
        <v>0</v>
      </c>
    </row>
    <row r="96" spans="1:24">
      <c r="A96" s="357"/>
      <c r="B96" s="356"/>
      <c r="C96" s="90" t="s">
        <v>190</v>
      </c>
      <c r="D96" s="91"/>
      <c r="E96" s="91"/>
      <c r="F96" s="91"/>
      <c r="G96" s="91"/>
      <c r="H96" s="91"/>
      <c r="I96" s="109" cm="1">
        <f t="array" ref="I96">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</f>
        <v>0</v>
      </c>
      <c r="J96" s="115" cm="1">
        <f t="array" ref="J96">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</f>
        <v>0</v>
      </c>
      <c r="K96" s="115" cm="1">
        <f t="array" ref="K96">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</f>
        <v>0</v>
      </c>
      <c r="L96" s="116" cm="1">
        <f t="array" ref="L96">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</f>
        <v>0</v>
      </c>
      <c r="M96" s="109" cm="1">
        <f t="array" ref="M96">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</f>
        <v>0</v>
      </c>
      <c r="N96" s="115" cm="1">
        <f t="array" ref="N96">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</f>
        <v>0</v>
      </c>
      <c r="O96" s="115" cm="1">
        <f t="array" ref="O96">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</f>
        <v>0</v>
      </c>
      <c r="P96" s="116" cm="1">
        <f t="array" ref="P96">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</f>
        <v>0</v>
      </c>
      <c r="Q96" s="109" cm="1">
        <f t="array" ref="Q96">IF(Q$109,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,0)</f>
        <v>0</v>
      </c>
      <c r="R96" s="115" cm="1">
        <f t="array" ref="R96">IF(R$109,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,0)</f>
        <v>0</v>
      </c>
      <c r="S96" s="115" cm="1">
        <f t="array" ref="S96">IF(S$109,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,0)</f>
        <v>0</v>
      </c>
      <c r="T96" s="116" cm="1">
        <f t="array" ref="T96">IF(T$109,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,0)</f>
        <v>0</v>
      </c>
      <c r="U96" s="109" cm="1">
        <f t="array" ref="U96">IF(U$109,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,0)</f>
        <v>0</v>
      </c>
      <c r="V96" s="115" cm="1">
        <f t="array" ref="V96">IF(V$109,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,0)</f>
        <v>0</v>
      </c>
      <c r="W96" s="115" cm="1">
        <f t="array" ref="W96">IF(W$109,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,0)</f>
        <v>0</v>
      </c>
      <c r="X96" s="116" cm="1">
        <f t="array" ref="X96">IF(X$109,SUMPRODUCT(IF(MOD((COLUMN()-规则表!$C$17-COLUMN($D6:INDEX(6:6,COLUMN()-规则表!$C$17)))/规则表!$D$17,1)=0,$D6:INDEX(6:6,COLUMN()-规则表!$C$17),0))-SUMPRODUCT(IF(MOD((COLUMN()-COLUMN($D22:INDEX(22:22,COLUMN())))/规则表!$D$17,1)=0,$D22:INDEX(22:22,COLUMN()),0))+SUMPRODUCT(($I38:INDEX(38:38,COLUMN())&lt;0)*(MOD((COLUMN()-COLUMN($I38:INDEX(38:38,COLUMN())))/规则表!$D$17,1)=0)*($I38:INDEX(38:38,COLUMN())))+SUMPRODUCT(($I38:INDEX(38:38,COLUMN()-规则表!$F$17)&gt;0)*(MOD((COLUMN()-规则表!$F$17-COLUMN($I38:INDEX(38:38,COLUMN()-规则表!$F$17)))/规则表!$D$17,1)=0)*($I38:INDEX(38:38,COLUMN()-规则表!$F$17))),0)</f>
        <v>0</v>
      </c>
    </row>
    <row r="97" spans="1:24">
      <c r="A97" s="357"/>
      <c r="B97" s="356"/>
      <c r="C97" s="90" t="s">
        <v>191</v>
      </c>
      <c r="D97" s="91"/>
      <c r="E97" s="91"/>
      <c r="F97" s="91"/>
      <c r="G97" s="91"/>
      <c r="H97" s="91"/>
      <c r="I97" s="109" cm="1">
        <f t="array" ref="I97">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</f>
        <v>10</v>
      </c>
      <c r="J97" s="115" cm="1">
        <f t="array" ref="J97">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</f>
        <v>0</v>
      </c>
      <c r="K97" s="115" cm="1">
        <f t="array" ref="K97">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</f>
        <v>10</v>
      </c>
      <c r="L97" s="116" cm="1">
        <f t="array" ref="L97">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</f>
        <v>0</v>
      </c>
      <c r="M97" s="109" cm="1">
        <f t="array" ref="M97">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</f>
        <v>10</v>
      </c>
      <c r="N97" s="115" cm="1">
        <f t="array" ref="N97">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</f>
        <v>0</v>
      </c>
      <c r="O97" s="115" cm="1">
        <f t="array" ref="O97">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</f>
        <v>10</v>
      </c>
      <c r="P97" s="116" cm="1">
        <f t="array" ref="P97">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</f>
        <v>0</v>
      </c>
      <c r="Q97" s="109" cm="1">
        <f t="array" ref="Q97">IF(Q$109,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,0)</f>
        <v>0</v>
      </c>
      <c r="R97" s="115" cm="1">
        <f t="array" ref="R97">IF(R$109,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,0)</f>
        <v>0</v>
      </c>
      <c r="S97" s="115" cm="1">
        <f t="array" ref="S97">IF(S$109,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,0)</f>
        <v>0</v>
      </c>
      <c r="T97" s="116" cm="1">
        <f t="array" ref="T97">IF(T$109,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,0)</f>
        <v>0</v>
      </c>
      <c r="U97" s="109" cm="1">
        <f t="array" ref="U97">IF(U$109,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,0)</f>
        <v>0</v>
      </c>
      <c r="V97" s="115" cm="1">
        <f t="array" ref="V97">IF(V$109,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,0)</f>
        <v>0</v>
      </c>
      <c r="W97" s="115" cm="1">
        <f t="array" ref="W97">IF(W$109,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,0)</f>
        <v>0</v>
      </c>
      <c r="X97" s="116" cm="1">
        <f t="array" ref="X97">IF(X$109,SUMPRODUCT(IF(MOD((COLUMN()-规则表!$C$17-COLUMN($D7:INDEX(7:7,COLUMN()-规则表!$C$17)))/规则表!$D$17,1)=0,$D7:INDEX(7:7,COLUMN()-规则表!$C$17),0))-SUMPRODUCT(IF(MOD((COLUMN()-COLUMN($D23:INDEX(23:23,COLUMN())))/规则表!$D$17,1)=0,$D23:INDEX(23:23,COLUMN()),0))+SUMPRODUCT(($I39:INDEX(39:39,COLUMN())&lt;0)*(MOD((COLUMN()-COLUMN($I39:INDEX(39:39,COLUMN())))/规则表!$D$17,1)=0)*($I39:INDEX(39:39,COLUMN())))+SUMPRODUCT(($I39:INDEX(39:39,COLUMN()-规则表!$F$17)&gt;0)*(MOD((COLUMN()-规则表!$F$17-COLUMN($I39:INDEX(39:39,COLUMN()-规则表!$F$17)))/规则表!$D$17,1)=0)*($I39:INDEX(39:39,COLUMN()-规则表!$F$17))),0)</f>
        <v>0</v>
      </c>
    </row>
    <row r="98" spans="1:24">
      <c r="A98" s="357"/>
      <c r="B98" s="356"/>
      <c r="C98" s="90" t="s">
        <v>192</v>
      </c>
      <c r="D98" s="91"/>
      <c r="E98" s="91"/>
      <c r="F98" s="91"/>
      <c r="G98" s="91"/>
      <c r="H98" s="91"/>
      <c r="I98" s="110" cm="1">
        <f t="array" ref="I98">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</f>
        <v>0</v>
      </c>
      <c r="J98" s="117" cm="1">
        <f t="array" ref="J98">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</f>
        <v>0</v>
      </c>
      <c r="K98" s="117" cm="1">
        <f t="array" ref="K98">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</f>
        <v>0</v>
      </c>
      <c r="L98" s="118" cm="1">
        <f t="array" ref="L98">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</f>
        <v>0</v>
      </c>
      <c r="M98" s="110" cm="1">
        <f t="array" ref="M98">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</f>
        <v>0</v>
      </c>
      <c r="N98" s="117" cm="1">
        <f t="array" ref="N98">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</f>
        <v>0</v>
      </c>
      <c r="O98" s="117" cm="1">
        <f t="array" ref="O98">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</f>
        <v>0</v>
      </c>
      <c r="P98" s="118" cm="1">
        <f t="array" ref="P98">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</f>
        <v>0</v>
      </c>
      <c r="Q98" s="110" cm="1">
        <f t="array" ref="Q98">IF(Q$109,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,0)</f>
        <v>0</v>
      </c>
      <c r="R98" s="117" cm="1">
        <f t="array" ref="R98">IF(R$109,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,0)</f>
        <v>0</v>
      </c>
      <c r="S98" s="117" cm="1">
        <f t="array" ref="S98">IF(S$109,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,0)</f>
        <v>0</v>
      </c>
      <c r="T98" s="118" cm="1">
        <f t="array" ref="T98">IF(T$109,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,0)</f>
        <v>0</v>
      </c>
      <c r="U98" s="110" cm="1">
        <f t="array" ref="U98">IF(U$109,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,0)</f>
        <v>0</v>
      </c>
      <c r="V98" s="117" cm="1">
        <f t="array" ref="V98">IF(V$109,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,0)</f>
        <v>0</v>
      </c>
      <c r="W98" s="117" cm="1">
        <f t="array" ref="W98">IF(W$109,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,0)</f>
        <v>0</v>
      </c>
      <c r="X98" s="118" cm="1">
        <f t="array" ref="X98">IF(X$109,SUMPRODUCT(IF(MOD((COLUMN()-规则表!$C$17-COLUMN($D8:INDEX(8:8,COLUMN()-规则表!$C$17)))/规则表!$D$17,1)=0,$D8:INDEX(8:8,COLUMN()-规则表!$C$17),0))-SUMPRODUCT(IF(MOD((COLUMN()-COLUMN($D24:INDEX(24:24,COLUMN())))/规则表!$D$17,1)=0,$D24:INDEX(24:24,COLUMN()),0))+SUMPRODUCT(($I40:INDEX(40:40,COLUMN())&lt;0)*(MOD((COLUMN()-COLUMN($I40:INDEX(40:40,COLUMN())))/规则表!$D$17,1)=0)*($I40:INDEX(40:40,COLUMN())))+SUMPRODUCT(($I40:INDEX(40:40,COLUMN()-规则表!$F$17)&gt;0)*(MOD((COLUMN()-规则表!$F$17-COLUMN($I40:INDEX(40:40,COLUMN()-规则表!$F$17)))/规则表!$D$17,1)=0)*($I40:INDEX(40:40,COLUMN()-规则表!$F$17))),0)</f>
        <v>0</v>
      </c>
    </row>
    <row r="99" spans="1:24">
      <c r="A99" s="357"/>
      <c r="B99" s="356" t="s">
        <v>36</v>
      </c>
      <c r="C99" s="90" t="s">
        <v>188</v>
      </c>
      <c r="D99" s="91"/>
      <c r="E99" s="91"/>
      <c r="F99" s="91"/>
      <c r="G99" s="91"/>
      <c r="H99" s="91"/>
      <c r="I99" s="108" cm="1">
        <f t="array" ref="I99">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</f>
        <v>0</v>
      </c>
      <c r="J99" s="112" cm="1">
        <f t="array" ref="J99">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</f>
        <v>0</v>
      </c>
      <c r="K99" s="112" cm="1">
        <f t="array" ref="K99">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</f>
        <v>0</v>
      </c>
      <c r="L99" s="113" cm="1">
        <f t="array" ref="L99">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</f>
        <v>0</v>
      </c>
      <c r="M99" s="108" cm="1">
        <f t="array" ref="M99">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</f>
        <v>0</v>
      </c>
      <c r="N99" s="112" cm="1">
        <f t="array" ref="N99">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</f>
        <v>0</v>
      </c>
      <c r="O99" s="112" cm="1">
        <f t="array" ref="O99">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</f>
        <v>0</v>
      </c>
      <c r="P99" s="113" cm="1">
        <f t="array" ref="P99">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</f>
        <v>0</v>
      </c>
      <c r="Q99" s="108" cm="1">
        <f t="array" ref="Q99">IF(Q$109,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,0)</f>
        <v>0</v>
      </c>
      <c r="R99" s="112" cm="1">
        <f t="array" ref="R99">IF(R$109,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,0)</f>
        <v>0</v>
      </c>
      <c r="S99" s="112" cm="1">
        <f t="array" ref="S99">IF(S$109,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,0)</f>
        <v>0</v>
      </c>
      <c r="T99" s="113" cm="1">
        <f t="array" ref="T99">IF(T$109,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,0)</f>
        <v>0</v>
      </c>
      <c r="U99" s="108" cm="1">
        <f t="array" ref="U99">IF(U$109,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,0)</f>
        <v>0</v>
      </c>
      <c r="V99" s="112" cm="1">
        <f t="array" ref="V99">IF(V$109,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,0)</f>
        <v>0</v>
      </c>
      <c r="W99" s="112" cm="1">
        <f t="array" ref="W99">IF(W$109,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,0)</f>
        <v>0</v>
      </c>
      <c r="X99" s="113" cm="1">
        <f t="array" ref="X99">IF(X$109,SUMPRODUCT(IF(MOD((COLUMN()-规则表!$C$18-COLUMN($D9:INDEX(9:9,COLUMN()-规则表!$C$18)))/规则表!$D$18,1)=0,$D9:INDEX(9:9,COLUMN()-规则表!$C$18),0))-SUMPRODUCT(IF(MOD((COLUMN()-COLUMN($D25:INDEX(25:25,COLUMN())))/规则表!$D$18,1)=0,$D25:INDEX(25:25,COLUMN()),0))+SUMPRODUCT(($I41:INDEX(41:41,COLUMN())&lt;0)*(MOD((COLUMN()-COLUMN($I41:INDEX(41:41,COLUMN())))/规则表!$D$18,1)=0)*($I41:INDEX(41:41,COLUMN())))+SUMPRODUCT(($I41:INDEX(41:41,COLUMN()-规则表!$F$18)&gt;0)*(MOD((COLUMN()-规则表!$F$18-COLUMN($I41:INDEX(41:41,COLUMN()-规则表!$F$18)))/规则表!$D$18,1)=0)*($I41:INDEX(41:41,COLUMN()-规则表!$F$18))),0)</f>
        <v>0</v>
      </c>
    </row>
    <row r="100" spans="1:24">
      <c r="A100" s="357"/>
      <c r="B100" s="356"/>
      <c r="C100" s="90" t="s">
        <v>189</v>
      </c>
      <c r="D100" s="91"/>
      <c r="E100" s="91"/>
      <c r="F100" s="91"/>
      <c r="G100" s="91"/>
      <c r="H100" s="91"/>
      <c r="I100" s="109" cm="1">
        <f t="array" ref="I100">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</f>
        <v>0</v>
      </c>
      <c r="J100" s="115" cm="1">
        <f t="array" ref="J100">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</f>
        <v>0</v>
      </c>
      <c r="K100" s="115" cm="1">
        <f t="array" ref="K100">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</f>
        <v>0</v>
      </c>
      <c r="L100" s="116" cm="1">
        <f t="array" ref="L100">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</f>
        <v>0</v>
      </c>
      <c r="M100" s="109" cm="1">
        <f t="array" ref="M100">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</f>
        <v>0</v>
      </c>
      <c r="N100" s="115" cm="1">
        <f t="array" ref="N100">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</f>
        <v>0</v>
      </c>
      <c r="O100" s="115" cm="1">
        <f t="array" ref="O100">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</f>
        <v>0</v>
      </c>
      <c r="P100" s="116" cm="1">
        <f t="array" ref="P100">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</f>
        <v>0</v>
      </c>
      <c r="Q100" s="109" cm="1">
        <f t="array" ref="Q100">IF(Q$109,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,0)</f>
        <v>0</v>
      </c>
      <c r="R100" s="115" cm="1">
        <f t="array" ref="R100">IF(R$109,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,0)</f>
        <v>0</v>
      </c>
      <c r="S100" s="115" cm="1">
        <f t="array" ref="S100">IF(S$109,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,0)</f>
        <v>0</v>
      </c>
      <c r="T100" s="116" cm="1">
        <f t="array" ref="T100">IF(T$109,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,0)</f>
        <v>0</v>
      </c>
      <c r="U100" s="109" cm="1">
        <f t="array" ref="U100">IF(U$109,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,0)</f>
        <v>0</v>
      </c>
      <c r="V100" s="115" cm="1">
        <f t="array" ref="V100">IF(V$109,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,0)</f>
        <v>0</v>
      </c>
      <c r="W100" s="115" cm="1">
        <f t="array" ref="W100">IF(W$109,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,0)</f>
        <v>0</v>
      </c>
      <c r="X100" s="116" cm="1">
        <f t="array" ref="X100">IF(X$109,SUMPRODUCT(IF(MOD((COLUMN()-规则表!$C$18-COLUMN($D10:INDEX(10:10,COLUMN()-规则表!$C$18)))/规则表!$D$18,1)=0,$D10:INDEX(10:10,COLUMN()-规则表!$C$18),0))-SUMPRODUCT(IF(MOD((COLUMN()-COLUMN($D26:INDEX(26:26,COLUMN())))/规则表!$D$18,1)=0,$D26:INDEX(26:26,COLUMN()),0))+SUMPRODUCT(($I42:INDEX(42:42,COLUMN())&lt;0)*(MOD((COLUMN()-COLUMN($I42:INDEX(42:42,COLUMN())))/规则表!$D$18,1)=0)*($I42:INDEX(42:42,COLUMN())))+SUMPRODUCT(($I42:INDEX(42:42,COLUMN()-规则表!$F$18)&gt;0)*(MOD((COLUMN()-规则表!$F$18-COLUMN($I42:INDEX(42:42,COLUMN()-规则表!$F$18)))/规则表!$D$18,1)=0)*($I42:INDEX(42:42,COLUMN()-规则表!$F$18))),0)</f>
        <v>0</v>
      </c>
    </row>
    <row r="101" spans="1:24">
      <c r="A101" s="357"/>
      <c r="B101" s="356"/>
      <c r="C101" s="90" t="s">
        <v>190</v>
      </c>
      <c r="D101" s="91"/>
      <c r="E101" s="91"/>
      <c r="F101" s="91"/>
      <c r="G101" s="91"/>
      <c r="H101" s="91"/>
      <c r="I101" s="109" cm="1">
        <f t="array" ref="I101">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</f>
        <v>0</v>
      </c>
      <c r="J101" s="115" cm="1">
        <f t="array" ref="J101">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</f>
        <v>0</v>
      </c>
      <c r="K101" s="115" cm="1">
        <f t="array" ref="K101">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</f>
        <v>0</v>
      </c>
      <c r="L101" s="116" cm="1">
        <f t="array" ref="L101">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</f>
        <v>0</v>
      </c>
      <c r="M101" s="109" cm="1">
        <f t="array" ref="M101">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</f>
        <v>0</v>
      </c>
      <c r="N101" s="115" cm="1">
        <f t="array" ref="N101">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</f>
        <v>0</v>
      </c>
      <c r="O101" s="115" cm="1">
        <f t="array" ref="O101">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</f>
        <v>0</v>
      </c>
      <c r="P101" s="116" cm="1">
        <f t="array" ref="P101">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</f>
        <v>0</v>
      </c>
      <c r="Q101" s="109" cm="1">
        <f t="array" ref="Q101">IF(Q$109,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,0)</f>
        <v>0</v>
      </c>
      <c r="R101" s="115" cm="1">
        <f t="array" ref="R101">IF(R$109,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,0)</f>
        <v>0</v>
      </c>
      <c r="S101" s="115" cm="1">
        <f t="array" ref="S101">IF(S$109,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,0)</f>
        <v>0</v>
      </c>
      <c r="T101" s="116" cm="1">
        <f t="array" ref="T101">IF(T$109,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,0)</f>
        <v>0</v>
      </c>
      <c r="U101" s="109" cm="1">
        <f t="array" ref="U101">IF(U$109,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,0)</f>
        <v>0</v>
      </c>
      <c r="V101" s="115" cm="1">
        <f t="array" ref="V101">IF(V$109,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,0)</f>
        <v>0</v>
      </c>
      <c r="W101" s="115" cm="1">
        <f t="array" ref="W101">IF(W$109,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,0)</f>
        <v>0</v>
      </c>
      <c r="X101" s="116" cm="1">
        <f t="array" ref="X101">IF(X$109,SUMPRODUCT(IF(MOD((COLUMN()-规则表!$C$18-COLUMN($D11:INDEX(11:11,COLUMN()-规则表!$C$18)))/规则表!$D$18,1)=0,$D11:INDEX(11:11,COLUMN()-规则表!$C$18),0))-SUMPRODUCT(IF(MOD((COLUMN()-COLUMN($D27:INDEX(27:27,COLUMN())))/规则表!$D$18,1)=0,$D27:INDEX(27:27,COLUMN()),0))+SUMPRODUCT(($I43:INDEX(43:43,COLUMN())&lt;0)*(MOD((COLUMN()-COLUMN($I43:INDEX(43:43,COLUMN())))/规则表!$D$18,1)=0)*($I43:INDEX(43:43,COLUMN())))+SUMPRODUCT(($I43:INDEX(43:43,COLUMN()-规则表!$F$18)&gt;0)*(MOD((COLUMN()-规则表!$F$18-COLUMN($I43:INDEX(43:43,COLUMN()-规则表!$F$18)))/规则表!$D$18,1)=0)*($I43:INDEX(43:43,COLUMN()-规则表!$F$18))),0)</f>
        <v>0</v>
      </c>
    </row>
    <row r="102" spans="1:24">
      <c r="A102" s="357"/>
      <c r="B102" s="356"/>
      <c r="C102" s="90" t="s">
        <v>191</v>
      </c>
      <c r="D102" s="91"/>
      <c r="E102" s="91"/>
      <c r="F102" s="91"/>
      <c r="G102" s="91"/>
      <c r="H102" s="91"/>
      <c r="I102" s="109" cm="1">
        <f t="array" ref="I102">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</f>
        <v>0</v>
      </c>
      <c r="J102" s="115" cm="1">
        <f t="array" ref="J102">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</f>
        <v>0</v>
      </c>
      <c r="K102" s="115" cm="1">
        <f t="array" ref="K102">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</f>
        <v>0</v>
      </c>
      <c r="L102" s="116" cm="1">
        <f t="array" ref="L102">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</f>
        <v>0</v>
      </c>
      <c r="M102" s="109" cm="1">
        <f t="array" ref="M102">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</f>
        <v>0</v>
      </c>
      <c r="N102" s="115" cm="1">
        <f t="array" ref="N102">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</f>
        <v>0</v>
      </c>
      <c r="O102" s="115" cm="1">
        <f t="array" ref="O102">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</f>
        <v>0</v>
      </c>
      <c r="P102" s="116" cm="1">
        <f t="array" ref="P102">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</f>
        <v>0</v>
      </c>
      <c r="Q102" s="109" cm="1">
        <f t="array" ref="Q102">IF(Q$109,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,0)</f>
        <v>0</v>
      </c>
      <c r="R102" s="115" cm="1">
        <f t="array" ref="R102">IF(R$109,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,0)</f>
        <v>0</v>
      </c>
      <c r="S102" s="115" cm="1">
        <f t="array" ref="S102">IF(S$109,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,0)</f>
        <v>0</v>
      </c>
      <c r="T102" s="116" cm="1">
        <f t="array" ref="T102">IF(T$109,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,0)</f>
        <v>0</v>
      </c>
      <c r="U102" s="109" cm="1">
        <f t="array" ref="U102">IF(U$109,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,0)</f>
        <v>0</v>
      </c>
      <c r="V102" s="115" cm="1">
        <f t="array" ref="V102">IF(V$109,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,0)</f>
        <v>0</v>
      </c>
      <c r="W102" s="115" cm="1">
        <f t="array" ref="W102">IF(W$109,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,0)</f>
        <v>0</v>
      </c>
      <c r="X102" s="116" cm="1">
        <f t="array" ref="X102">IF(X$109,SUMPRODUCT(IF(MOD((COLUMN()-规则表!$C$18-COLUMN($D12:INDEX(12:12,COLUMN()-规则表!$C$18)))/规则表!$D$18,1)=0,$D12:INDEX(12:12,COLUMN()-规则表!$C$18),0))-SUMPRODUCT(IF(MOD((COLUMN()-COLUMN($D28:INDEX(28:28,COLUMN())))/规则表!$D$18,1)=0,$D28:INDEX(28:28,COLUMN()),0))+SUMPRODUCT(($I44:INDEX(44:44,COLUMN())&lt;0)*(MOD((COLUMN()-COLUMN($I44:INDEX(44:44,COLUMN())))/规则表!$D$18,1)=0)*($I44:INDEX(44:44,COLUMN())))+SUMPRODUCT(($I44:INDEX(44:44,COLUMN()-规则表!$F$18)&gt;0)*(MOD((COLUMN()-规则表!$F$18-COLUMN($I44:INDEX(44:44,COLUMN()-规则表!$F$18)))/规则表!$D$18,1)=0)*($I44:INDEX(44:44,COLUMN()-规则表!$F$18))),0)</f>
        <v>0</v>
      </c>
    </row>
    <row r="103" spans="1:24">
      <c r="A103" s="357"/>
      <c r="B103" s="356"/>
      <c r="C103" s="90" t="s">
        <v>192</v>
      </c>
      <c r="D103" s="91"/>
      <c r="E103" s="91"/>
      <c r="F103" s="91"/>
      <c r="G103" s="91"/>
      <c r="H103" s="91"/>
      <c r="I103" s="110" cm="1">
        <f t="array" ref="I103">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</f>
        <v>0</v>
      </c>
      <c r="J103" s="117" cm="1">
        <f t="array" ref="J103">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</f>
        <v>0</v>
      </c>
      <c r="K103" s="117" cm="1">
        <f t="array" ref="K103">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</f>
        <v>0</v>
      </c>
      <c r="L103" s="118" cm="1">
        <f t="array" ref="L103">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</f>
        <v>0</v>
      </c>
      <c r="M103" s="110" cm="1">
        <f t="array" ref="M103">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</f>
        <v>0</v>
      </c>
      <c r="N103" s="117" cm="1">
        <f t="array" ref="N103">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</f>
        <v>0</v>
      </c>
      <c r="O103" s="117" cm="1">
        <f t="array" ref="O103">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</f>
        <v>0</v>
      </c>
      <c r="P103" s="118" cm="1">
        <f t="array" ref="P103">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</f>
        <v>0</v>
      </c>
      <c r="Q103" s="110" cm="1">
        <f t="array" ref="Q103">IF(Q$109,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,0)</f>
        <v>0</v>
      </c>
      <c r="R103" s="117" cm="1">
        <f t="array" ref="R103">IF(R$109,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,0)</f>
        <v>0</v>
      </c>
      <c r="S103" s="117" cm="1">
        <f t="array" ref="S103">IF(S$109,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,0)</f>
        <v>0</v>
      </c>
      <c r="T103" s="118" cm="1">
        <f t="array" ref="T103">IF(T$109,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,0)</f>
        <v>0</v>
      </c>
      <c r="U103" s="110" cm="1">
        <f t="array" ref="U103">IF(U$109,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,0)</f>
        <v>0</v>
      </c>
      <c r="V103" s="117" cm="1">
        <f t="array" ref="V103">IF(V$109,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,0)</f>
        <v>0</v>
      </c>
      <c r="W103" s="117" cm="1">
        <f t="array" ref="W103">IF(W$109,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,0)</f>
        <v>0</v>
      </c>
      <c r="X103" s="118" cm="1">
        <f t="array" ref="X103">IF(X$109,SUMPRODUCT(IF(MOD((COLUMN()-规则表!$C$18-COLUMN($D13:INDEX(13:13,COLUMN()-规则表!$C$18)))/规则表!$D$18,1)=0,$D13:INDEX(13:13,COLUMN()-规则表!$C$18),0))-SUMPRODUCT(IF(MOD((COLUMN()-COLUMN($D29:INDEX(29:29,COLUMN())))/规则表!$D$18,1)=0,$D29:INDEX(29:29,COLUMN()),0))+SUMPRODUCT(($I45:INDEX(45:45,COLUMN())&lt;0)*(MOD((COLUMN()-COLUMN($I45:INDEX(45:45,COLUMN())))/规则表!$D$18,1)=0)*($I45:INDEX(45:45,COLUMN())))+SUMPRODUCT(($I45:INDEX(45:45,COLUMN()-规则表!$F$18)&gt;0)*(MOD((COLUMN()-规则表!$F$18-COLUMN($I45:INDEX(45:45,COLUMN()-规则表!$F$18)))/规则表!$D$18,1)=0)*($I45:INDEX(45:45,COLUMN()-规则表!$F$18))),0)</f>
        <v>0</v>
      </c>
    </row>
    <row r="104" spans="1:24">
      <c r="A104" s="357"/>
      <c r="B104" s="356" t="s">
        <v>37</v>
      </c>
      <c r="C104" s="90" t="s">
        <v>188</v>
      </c>
      <c r="D104" s="91"/>
      <c r="E104" s="91"/>
      <c r="F104" s="91"/>
      <c r="G104" s="91"/>
      <c r="H104" s="91"/>
      <c r="I104" s="108" cm="1">
        <f t="array" ref="I104">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</f>
        <v>0</v>
      </c>
      <c r="J104" s="112" cm="1">
        <f t="array" ref="J104">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</f>
        <v>0</v>
      </c>
      <c r="K104" s="112" cm="1">
        <f t="array" ref="K104">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</f>
        <v>0</v>
      </c>
      <c r="L104" s="113" cm="1">
        <f t="array" ref="L104">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</f>
        <v>0</v>
      </c>
      <c r="M104" s="108" cm="1">
        <f t="array" ref="M104">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</f>
        <v>0</v>
      </c>
      <c r="N104" s="112" cm="1">
        <f t="array" ref="N104">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</f>
        <v>0</v>
      </c>
      <c r="O104" s="112" cm="1">
        <f t="array" ref="O104">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</f>
        <v>0</v>
      </c>
      <c r="P104" s="113" cm="1">
        <f t="array" ref="P104">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</f>
        <v>0</v>
      </c>
      <c r="Q104" s="108" cm="1">
        <f t="array" ref="Q104">IF(Q$109,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,0)</f>
        <v>0</v>
      </c>
      <c r="R104" s="112" cm="1">
        <f t="array" ref="R104">IF(R$109,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,0)</f>
        <v>0</v>
      </c>
      <c r="S104" s="112" cm="1">
        <f t="array" ref="S104">IF(S$109,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,0)</f>
        <v>0</v>
      </c>
      <c r="T104" s="113" cm="1">
        <f t="array" ref="T104">IF(T$109,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,0)</f>
        <v>0</v>
      </c>
      <c r="U104" s="108" cm="1">
        <f t="array" ref="U104">IF(U$109,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,0)</f>
        <v>0</v>
      </c>
      <c r="V104" s="112" cm="1">
        <f t="array" ref="V104">IF(V$109,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,0)</f>
        <v>0</v>
      </c>
      <c r="W104" s="112" cm="1">
        <f t="array" ref="W104">IF(W$109,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,0)</f>
        <v>0</v>
      </c>
      <c r="X104" s="113" cm="1">
        <f t="array" ref="X104">IF(X$109,SUMPRODUCT(IF(MOD((COLUMN()-规则表!$C$19-COLUMN($D14:INDEX(14:14,COLUMN()-规则表!$C$19)))/规则表!$D$19,1)=0,$D14:INDEX(14:14,COLUMN()-规则表!$C$19),0))-SUMPRODUCT(IF(MOD((COLUMN()-COLUMN($D30:INDEX(30:30,COLUMN())))/规则表!$D$19,1)=0,$D30:INDEX(30:30,COLUMN()),0))+SUMPRODUCT(($I46:INDEX(46:46,COLUMN())&lt;0)*(MOD((COLUMN()-COLUMN($I46:INDEX(46:46,COLUMN())))/规则表!$D$19,1)=0)*($I46:INDEX(46:46,COLUMN())))+SUMPRODUCT(($I46:INDEX(46:46,COLUMN()-规则表!$F$19)&gt;0)*(MOD((COLUMN()-规则表!$F$19-COLUMN($I46:INDEX(46:46,COLUMN()-规则表!$F$19)))/规则表!$D$18,1)=0)*($I46:INDEX(46:46,COLUMN()-规则表!$F$19))),0)</f>
        <v>0</v>
      </c>
    </row>
    <row r="105" spans="1:24">
      <c r="A105" s="357"/>
      <c r="B105" s="356"/>
      <c r="C105" s="90" t="s">
        <v>189</v>
      </c>
      <c r="D105" s="91"/>
      <c r="E105" s="91"/>
      <c r="F105" s="91"/>
      <c r="G105" s="91"/>
      <c r="H105" s="91"/>
      <c r="I105" s="109" cm="1">
        <f t="array" ref="I105">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</f>
        <v>0</v>
      </c>
      <c r="J105" s="115" cm="1">
        <f t="array" ref="J105">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</f>
        <v>0</v>
      </c>
      <c r="K105" s="115" cm="1">
        <f t="array" ref="K105">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</f>
        <v>0</v>
      </c>
      <c r="L105" s="116" cm="1">
        <f t="array" ref="L105">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</f>
        <v>0</v>
      </c>
      <c r="M105" s="109" cm="1">
        <f t="array" ref="M105">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</f>
        <v>0</v>
      </c>
      <c r="N105" s="115" cm="1">
        <f t="array" ref="N105">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</f>
        <v>0</v>
      </c>
      <c r="O105" s="115" cm="1">
        <f t="array" ref="O105">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</f>
        <v>0</v>
      </c>
      <c r="P105" s="116" cm="1">
        <f t="array" ref="P105">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</f>
        <v>0</v>
      </c>
      <c r="Q105" s="109" cm="1">
        <f t="array" ref="Q105">IF(Q$109,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,0)</f>
        <v>0</v>
      </c>
      <c r="R105" s="115" cm="1">
        <f t="array" ref="R105">IF(R$109,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,0)</f>
        <v>0</v>
      </c>
      <c r="S105" s="115" cm="1">
        <f t="array" ref="S105">IF(S$109,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,0)</f>
        <v>0</v>
      </c>
      <c r="T105" s="116" cm="1">
        <f t="array" ref="T105">IF(T$109,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,0)</f>
        <v>0</v>
      </c>
      <c r="U105" s="109" cm="1">
        <f t="array" ref="U105">IF(U$109,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,0)</f>
        <v>0</v>
      </c>
      <c r="V105" s="115" cm="1">
        <f t="array" ref="V105">IF(V$109,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,0)</f>
        <v>0</v>
      </c>
      <c r="W105" s="115" cm="1">
        <f t="array" ref="W105">IF(W$109,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,0)</f>
        <v>0</v>
      </c>
      <c r="X105" s="116" cm="1">
        <f t="array" ref="X105">IF(X$109,SUMPRODUCT(IF(MOD((COLUMN()-规则表!$C$19-COLUMN($D15:INDEX(15:15,COLUMN()-规则表!$C$19)))/规则表!$D$19,1)=0,$D15:INDEX(15:15,COLUMN()-规则表!$C$19),0))-SUMPRODUCT(IF(MOD((COLUMN()-COLUMN($D31:INDEX(31:31,COLUMN())))/规则表!$D$19,1)=0,$D31:INDEX(31:31,COLUMN()),0))+SUMPRODUCT(($I47:INDEX(47:47,COLUMN())&lt;0)*(MOD((COLUMN()-COLUMN($I47:INDEX(47:47,COLUMN())))/规则表!$D$19,1)=0)*($I47:INDEX(47:47,COLUMN())))+SUMPRODUCT(($I47:INDEX(47:47,COLUMN()-规则表!$F$19)&gt;0)*(MOD((COLUMN()-规则表!$F$19-COLUMN($I47:INDEX(47:47,COLUMN()-规则表!$F$19)))/规则表!$D$18,1)=0)*($I47:INDEX(47:47,COLUMN()-规则表!$F$19))),0)</f>
        <v>0</v>
      </c>
    </row>
    <row r="106" spans="1:24">
      <c r="A106" s="357"/>
      <c r="B106" s="356"/>
      <c r="C106" s="90" t="s">
        <v>190</v>
      </c>
      <c r="D106" s="91"/>
      <c r="E106" s="91"/>
      <c r="F106" s="91"/>
      <c r="G106" s="91"/>
      <c r="H106" s="91"/>
      <c r="I106" s="109" cm="1">
        <f t="array" ref="I106">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</f>
        <v>0</v>
      </c>
      <c r="J106" s="115" cm="1">
        <f t="array" ref="J106">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</f>
        <v>0</v>
      </c>
      <c r="K106" s="115" cm="1">
        <f t="array" ref="K106">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</f>
        <v>0</v>
      </c>
      <c r="L106" s="116" cm="1">
        <f t="array" ref="L106">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</f>
        <v>0</v>
      </c>
      <c r="M106" s="109" cm="1">
        <f t="array" ref="M106">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</f>
        <v>0</v>
      </c>
      <c r="N106" s="115" cm="1">
        <f t="array" ref="N106">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</f>
        <v>0</v>
      </c>
      <c r="O106" s="115" cm="1">
        <f t="array" ref="O106">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</f>
        <v>0</v>
      </c>
      <c r="P106" s="116" cm="1">
        <f t="array" ref="P106">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</f>
        <v>0</v>
      </c>
      <c r="Q106" s="109" cm="1">
        <f t="array" ref="Q106">IF(Q$109,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,0)</f>
        <v>0</v>
      </c>
      <c r="R106" s="115" cm="1">
        <f t="array" ref="R106">IF(R$109,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,0)</f>
        <v>0</v>
      </c>
      <c r="S106" s="115" cm="1">
        <f t="array" ref="S106">IF(S$109,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,0)</f>
        <v>0</v>
      </c>
      <c r="T106" s="116" cm="1">
        <f t="array" ref="T106">IF(T$109,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,0)</f>
        <v>0</v>
      </c>
      <c r="U106" s="109" cm="1">
        <f t="array" ref="U106">IF(U$109,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,0)</f>
        <v>0</v>
      </c>
      <c r="V106" s="115" cm="1">
        <f t="array" ref="V106">IF(V$109,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,0)</f>
        <v>0</v>
      </c>
      <c r="W106" s="115" cm="1">
        <f t="array" ref="W106">IF(W$109,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,0)</f>
        <v>0</v>
      </c>
      <c r="X106" s="116" cm="1">
        <f t="array" ref="X106">IF(X$109,SUMPRODUCT(IF(MOD((COLUMN()-规则表!$C$19-COLUMN($D16:INDEX(16:16,COLUMN()-规则表!$C$19)))/规则表!$D$19,1)=0,$D16:INDEX(16:16,COLUMN()-规则表!$C$19),0))-SUMPRODUCT(IF(MOD((COLUMN()-COLUMN($D32:INDEX(32:32,COLUMN())))/规则表!$D$19,1)=0,$D32:INDEX(32:32,COLUMN()),0))+SUMPRODUCT(($I48:INDEX(48:48,COLUMN())&lt;0)*(MOD((COLUMN()-COLUMN($I48:INDEX(48:48,COLUMN())))/规则表!$D$19,1)=0)*($I48:INDEX(48:48,COLUMN())))+SUMPRODUCT(($I48:INDEX(48:48,COLUMN()-规则表!$F$19)&gt;0)*(MOD((COLUMN()-规则表!$F$19-COLUMN($I48:INDEX(48:48,COLUMN()-规则表!$F$19)))/规则表!$D$18,1)=0)*($I48:INDEX(48:48,COLUMN()-规则表!$F$19))),0)</f>
        <v>0</v>
      </c>
    </row>
    <row r="107" spans="1:24">
      <c r="A107" s="357"/>
      <c r="B107" s="356"/>
      <c r="C107" s="90" t="s">
        <v>191</v>
      </c>
      <c r="D107" s="91"/>
      <c r="E107" s="91"/>
      <c r="F107" s="91"/>
      <c r="G107" s="91"/>
      <c r="H107" s="91"/>
      <c r="I107" s="109" cm="1">
        <f t="array" ref="I107">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</f>
        <v>0</v>
      </c>
      <c r="J107" s="115" cm="1">
        <f t="array" ref="J107">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</f>
        <v>0</v>
      </c>
      <c r="K107" s="115" cm="1">
        <f t="array" ref="K107">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</f>
        <v>0</v>
      </c>
      <c r="L107" s="116" cm="1">
        <f t="array" ref="L107">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</f>
        <v>0</v>
      </c>
      <c r="M107" s="109" cm="1">
        <f t="array" ref="M107">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</f>
        <v>0</v>
      </c>
      <c r="N107" s="115" cm="1">
        <f t="array" ref="N107">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</f>
        <v>0</v>
      </c>
      <c r="O107" s="115" cm="1">
        <f t="array" ref="O107">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</f>
        <v>0</v>
      </c>
      <c r="P107" s="116" cm="1">
        <f t="array" ref="P107">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</f>
        <v>0</v>
      </c>
      <c r="Q107" s="109" cm="1">
        <f t="array" ref="Q107">IF(Q$109,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,0)</f>
        <v>0</v>
      </c>
      <c r="R107" s="115" cm="1">
        <f t="array" ref="R107">IF(R$109,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,0)</f>
        <v>0</v>
      </c>
      <c r="S107" s="115" cm="1">
        <f t="array" ref="S107">IF(S$109,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,0)</f>
        <v>0</v>
      </c>
      <c r="T107" s="116" cm="1">
        <f t="array" ref="T107">IF(T$109,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,0)</f>
        <v>0</v>
      </c>
      <c r="U107" s="109" cm="1">
        <f t="array" ref="U107">IF(U$109,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,0)</f>
        <v>0</v>
      </c>
      <c r="V107" s="115" cm="1">
        <f t="array" ref="V107">IF(V$109,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,0)</f>
        <v>0</v>
      </c>
      <c r="W107" s="115" cm="1">
        <f t="array" ref="W107">IF(W$109,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,0)</f>
        <v>0</v>
      </c>
      <c r="X107" s="116" cm="1">
        <f t="array" ref="X107">IF(X$109,SUMPRODUCT(IF(MOD((COLUMN()-规则表!$C$19-COLUMN($D17:INDEX(17:17,COLUMN()-规则表!$C$19)))/规则表!$D$19,1)=0,$D17:INDEX(17:17,COLUMN()-规则表!$C$19),0))-SUMPRODUCT(IF(MOD((COLUMN()-COLUMN($D33:INDEX(33:33,COLUMN())))/规则表!$D$19,1)=0,$D33:INDEX(33:33,COLUMN()),0))+SUMPRODUCT(($I49:INDEX(49:49,COLUMN())&lt;0)*(MOD((COLUMN()-COLUMN($I49:INDEX(49:49,COLUMN())))/规则表!$D$19,1)=0)*($I49:INDEX(49:49,COLUMN())))+SUMPRODUCT(($I49:INDEX(49:49,COLUMN()-规则表!$F$19)&gt;0)*(MOD((COLUMN()-规则表!$F$19-COLUMN($I49:INDEX(49:49,COLUMN()-规则表!$F$19)))/规则表!$D$18,1)=0)*($I49:INDEX(49:49,COLUMN()-规则表!$F$19))),0)</f>
        <v>0</v>
      </c>
    </row>
    <row r="108" spans="1:24">
      <c r="A108" s="357"/>
      <c r="B108" s="356"/>
      <c r="C108" s="90" t="s">
        <v>192</v>
      </c>
      <c r="D108" s="91"/>
      <c r="E108" s="91"/>
      <c r="F108" s="91"/>
      <c r="G108" s="91"/>
      <c r="H108" s="91"/>
      <c r="I108" s="110" cm="1">
        <f t="array" ref="I108">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</f>
        <v>0</v>
      </c>
      <c r="J108" s="117" cm="1">
        <f t="array" ref="J108">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</f>
        <v>0</v>
      </c>
      <c r="K108" s="117" cm="1">
        <f t="array" ref="K108">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</f>
        <v>0</v>
      </c>
      <c r="L108" s="118" cm="1">
        <f t="array" ref="L108">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</f>
        <v>0</v>
      </c>
      <c r="M108" s="110" cm="1">
        <f t="array" ref="M108">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</f>
        <v>0</v>
      </c>
      <c r="N108" s="117" cm="1">
        <f t="array" ref="N108">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</f>
        <v>0</v>
      </c>
      <c r="O108" s="117" cm="1">
        <f t="array" ref="O108">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</f>
        <v>0</v>
      </c>
      <c r="P108" s="118" cm="1">
        <f t="array" ref="P108">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</f>
        <v>0</v>
      </c>
      <c r="Q108" s="110" cm="1">
        <f t="array" ref="Q108">IF(Q$109,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,0)</f>
        <v>0</v>
      </c>
      <c r="R108" s="117" cm="1">
        <f t="array" ref="R108">IF(R$109,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,0)</f>
        <v>0</v>
      </c>
      <c r="S108" s="117" cm="1">
        <f t="array" ref="S108">IF(S$109,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,0)</f>
        <v>0</v>
      </c>
      <c r="T108" s="118" cm="1">
        <f t="array" ref="T108">IF(T$109,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,0)</f>
        <v>0</v>
      </c>
      <c r="U108" s="110" cm="1">
        <f t="array" ref="U108">IF(U$109,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,0)</f>
        <v>0</v>
      </c>
      <c r="V108" s="117" cm="1">
        <f t="array" ref="V108">IF(V$109,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,0)</f>
        <v>0</v>
      </c>
      <c r="W108" s="117" cm="1">
        <f t="array" ref="W108">IF(W$109,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,0)</f>
        <v>0</v>
      </c>
      <c r="X108" s="118" cm="1">
        <f t="array" ref="X108">IF(X$109,SUMPRODUCT(IF(MOD((COLUMN()-规则表!$C$19-COLUMN($D18:INDEX(18:18,COLUMN()-规则表!$C$19)))/规则表!$D$19,1)=0,$D18:INDEX(18:18,COLUMN()-规则表!$C$19),0))-SUMPRODUCT(IF(MOD((COLUMN()-COLUMN($D34:INDEX(34:34,COLUMN())))/规则表!$D$19,1)=0,$D34:INDEX(34:34,COLUMN()),0))+SUMPRODUCT(($I50:INDEX(50:50,COLUMN())&lt;0)*(MOD((COLUMN()-COLUMN($I50:INDEX(50:50,COLUMN())))/规则表!$D$19,1)=0)*($I50:INDEX(50:50,COLUMN())))+SUMPRODUCT(($I50:INDEX(50:50,COLUMN()-规则表!$F$19)&gt;0)*(MOD((COLUMN()-规则表!$F$19-COLUMN($I50:INDEX(50:50,COLUMN()-规则表!$F$19)))/规则表!$D$18,1)=0)*($I50:INDEX(50:50,COLUMN()-规则表!$F$19))),0)</f>
        <v>0</v>
      </c>
    </row>
    <row r="109" spans="1:24"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</row>
    <row r="111" spans="1:24">
      <c r="B111" s="356" t="s">
        <v>208</v>
      </c>
      <c r="C111" s="90" t="s">
        <v>203</v>
      </c>
      <c r="D111" s="91"/>
      <c r="E111" s="91"/>
      <c r="F111" s="91"/>
      <c r="G111" s="91"/>
      <c r="H111" s="91"/>
      <c r="I111" s="108">
        <f>SUM(I94:I98)</f>
        <v>10</v>
      </c>
      <c r="J111" s="108">
        <f t="shared" ref="J111:X111" si="12">SUM(J94:J98)</f>
        <v>0</v>
      </c>
      <c r="K111" s="108">
        <f t="shared" si="12"/>
        <v>10</v>
      </c>
      <c r="L111" s="108">
        <f t="shared" si="12"/>
        <v>0</v>
      </c>
      <c r="M111" s="108">
        <f t="shared" si="12"/>
        <v>10</v>
      </c>
      <c r="N111" s="108">
        <f t="shared" si="12"/>
        <v>0</v>
      </c>
      <c r="O111" s="108">
        <f t="shared" si="12"/>
        <v>10</v>
      </c>
      <c r="P111" s="108">
        <f t="shared" si="12"/>
        <v>0</v>
      </c>
      <c r="Q111" s="108">
        <f t="shared" si="12"/>
        <v>0</v>
      </c>
      <c r="R111" s="108">
        <f t="shared" si="12"/>
        <v>0</v>
      </c>
      <c r="S111" s="108">
        <f t="shared" si="12"/>
        <v>0</v>
      </c>
      <c r="T111" s="108">
        <f t="shared" si="12"/>
        <v>0</v>
      </c>
      <c r="U111" s="108">
        <f t="shared" si="12"/>
        <v>0</v>
      </c>
      <c r="V111" s="108">
        <f t="shared" si="12"/>
        <v>0</v>
      </c>
      <c r="W111" s="108">
        <f t="shared" si="12"/>
        <v>0</v>
      </c>
      <c r="X111" s="108">
        <f t="shared" si="12"/>
        <v>0</v>
      </c>
    </row>
    <row r="112" spans="1:24">
      <c r="B112" s="356"/>
      <c r="C112" s="90" t="s">
        <v>36</v>
      </c>
      <c r="D112" s="91"/>
      <c r="E112" s="91"/>
      <c r="F112" s="91"/>
      <c r="G112" s="91"/>
      <c r="H112" s="91"/>
      <c r="I112" s="109">
        <f>SUM(I99:I103)</f>
        <v>0</v>
      </c>
      <c r="J112" s="109">
        <f t="shared" ref="J112:X112" si="13">SUM(J99:J103)</f>
        <v>0</v>
      </c>
      <c r="K112" s="109">
        <f t="shared" si="13"/>
        <v>0</v>
      </c>
      <c r="L112" s="109">
        <f t="shared" si="13"/>
        <v>0</v>
      </c>
      <c r="M112" s="109">
        <f t="shared" si="13"/>
        <v>0</v>
      </c>
      <c r="N112" s="109">
        <f t="shared" si="13"/>
        <v>0</v>
      </c>
      <c r="O112" s="109">
        <f t="shared" si="13"/>
        <v>0</v>
      </c>
      <c r="P112" s="109">
        <f t="shared" si="13"/>
        <v>0</v>
      </c>
      <c r="Q112" s="109">
        <f t="shared" si="13"/>
        <v>0</v>
      </c>
      <c r="R112" s="109">
        <f t="shared" si="13"/>
        <v>0</v>
      </c>
      <c r="S112" s="109">
        <f t="shared" si="13"/>
        <v>0</v>
      </c>
      <c r="T112" s="109">
        <f t="shared" si="13"/>
        <v>0</v>
      </c>
      <c r="U112" s="109">
        <f t="shared" si="13"/>
        <v>0</v>
      </c>
      <c r="V112" s="109">
        <f t="shared" si="13"/>
        <v>0</v>
      </c>
      <c r="W112" s="109">
        <f t="shared" si="13"/>
        <v>0</v>
      </c>
      <c r="X112" s="109">
        <f t="shared" si="13"/>
        <v>0</v>
      </c>
    </row>
    <row r="113" spans="2:24">
      <c r="B113" s="356"/>
      <c r="C113" s="90" t="s">
        <v>37</v>
      </c>
      <c r="D113" s="91"/>
      <c r="E113" s="91"/>
      <c r="F113" s="91"/>
      <c r="G113" s="91"/>
      <c r="H113" s="91"/>
      <c r="I113" s="110">
        <f t="shared" ref="I113:X113" si="14">SUM(I104:I108)</f>
        <v>0</v>
      </c>
      <c r="J113" s="110">
        <f t="shared" si="14"/>
        <v>0</v>
      </c>
      <c r="K113" s="110">
        <f t="shared" si="14"/>
        <v>0</v>
      </c>
      <c r="L113" s="110">
        <f t="shared" si="14"/>
        <v>0</v>
      </c>
      <c r="M113" s="110">
        <f t="shared" si="14"/>
        <v>0</v>
      </c>
      <c r="N113" s="110">
        <f t="shared" si="14"/>
        <v>0</v>
      </c>
      <c r="O113" s="110">
        <f t="shared" si="14"/>
        <v>0</v>
      </c>
      <c r="P113" s="110">
        <f t="shared" si="14"/>
        <v>0</v>
      </c>
      <c r="Q113" s="110">
        <f t="shared" si="14"/>
        <v>0</v>
      </c>
      <c r="R113" s="110">
        <f t="shared" si="14"/>
        <v>0</v>
      </c>
      <c r="S113" s="110">
        <f t="shared" si="14"/>
        <v>0</v>
      </c>
      <c r="T113" s="110">
        <f t="shared" si="14"/>
        <v>0</v>
      </c>
      <c r="U113" s="110">
        <f t="shared" si="14"/>
        <v>0</v>
      </c>
      <c r="V113" s="110">
        <f t="shared" si="14"/>
        <v>0</v>
      </c>
      <c r="W113" s="110">
        <f t="shared" si="14"/>
        <v>0</v>
      </c>
      <c r="X113" s="110">
        <f t="shared" si="14"/>
        <v>0</v>
      </c>
    </row>
    <row r="114" spans="2:24">
      <c r="Q114" t="b">
        <v>1</v>
      </c>
      <c r="R114" t="b">
        <v>0</v>
      </c>
    </row>
  </sheetData>
  <sheetProtection formatCells="0" formatColumns="0" formatRows="0" insertColumns="0" insertRows="0" insertHyperlinks="0" deleteColumns="0" deleteRows="0" sort="0" autoFilter="0" pivotTables="0"/>
  <mergeCells count="31">
    <mergeCell ref="Y52:AA53"/>
    <mergeCell ref="B89:B91"/>
    <mergeCell ref="B94:B98"/>
    <mergeCell ref="B99:B103"/>
    <mergeCell ref="B104:B108"/>
    <mergeCell ref="B111:B113"/>
    <mergeCell ref="B64:B66"/>
    <mergeCell ref="B68:B70"/>
    <mergeCell ref="B72:B76"/>
    <mergeCell ref="B77:B81"/>
    <mergeCell ref="B82:B86"/>
    <mergeCell ref="B30:B34"/>
    <mergeCell ref="B36:B40"/>
    <mergeCell ref="B41:B45"/>
    <mergeCell ref="B46:B50"/>
    <mergeCell ref="B60:B62"/>
    <mergeCell ref="B4:B8"/>
    <mergeCell ref="B9:B13"/>
    <mergeCell ref="B14:B18"/>
    <mergeCell ref="B20:B24"/>
    <mergeCell ref="B25:B29"/>
    <mergeCell ref="A4:A18"/>
    <mergeCell ref="A20:A34"/>
    <mergeCell ref="A36:A50"/>
    <mergeCell ref="A72:A86"/>
    <mergeCell ref="A94:A108"/>
    <mergeCell ref="I1:L1"/>
    <mergeCell ref="M1:P1"/>
    <mergeCell ref="Q1:T1"/>
    <mergeCell ref="U1:X1"/>
    <mergeCell ref="A3:C3"/>
  </mergeCells>
  <phoneticPr fontId="33" type="noConversion"/>
  <dataValidations count="2">
    <dataValidation type="list" allowBlank="1" showInputMessage="1" showErrorMessage="1" sqref="I3:X3" xr:uid="{00000000-0002-0000-0300-000000000000}">
      <formula1>$A$1:$B$1</formula1>
    </dataValidation>
    <dataValidation type="list" allowBlank="1" showInputMessage="1" showErrorMessage="1" sqref="Q109:X109" xr:uid="{00000000-0002-0000-0300-000001000000}">
      <formula1>"False,True"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5"/>
  <sheetViews>
    <sheetView zoomScale="85" zoomScaleNormal="85" workbookViewId="0">
      <selection activeCell="O3" sqref="O3"/>
    </sheetView>
  </sheetViews>
  <sheetFormatPr defaultColWidth="8.75" defaultRowHeight="13.5"/>
  <cols>
    <col min="1" max="1" width="7.125" customWidth="1"/>
    <col min="2" max="2" width="9.25" customWidth="1"/>
    <col min="3" max="3" width="10.5" customWidth="1"/>
    <col min="4" max="4" width="8.25" customWidth="1"/>
    <col min="5" max="16" width="11.5" customWidth="1"/>
    <col min="17" max="18" width="20.875" customWidth="1"/>
    <col min="19" max="19" width="11.5" customWidth="1"/>
    <col min="20" max="20" width="14" customWidth="1"/>
    <col min="21" max="21" width="14.875" customWidth="1"/>
    <col min="22" max="22" width="11.875" customWidth="1"/>
    <col min="23" max="26" width="9.5" customWidth="1"/>
    <col min="31" max="31" width="9.5" customWidth="1"/>
    <col min="32" max="32" width="11.875" customWidth="1"/>
    <col min="33" max="36" width="9.5" customWidth="1"/>
  </cols>
  <sheetData>
    <row r="1" spans="1:19" ht="22.5" customHeight="1">
      <c r="A1" s="50" t="s">
        <v>77</v>
      </c>
      <c r="B1" s="50" t="s">
        <v>78</v>
      </c>
      <c r="C1" s="50"/>
      <c r="D1" s="358" t="s">
        <v>79</v>
      </c>
      <c r="E1" s="359"/>
      <c r="F1" s="359"/>
      <c r="G1" s="360"/>
      <c r="H1" s="358" t="s">
        <v>80</v>
      </c>
      <c r="I1" s="359"/>
      <c r="J1" s="359"/>
      <c r="K1" s="360"/>
      <c r="L1" s="358" t="s">
        <v>81</v>
      </c>
      <c r="M1" s="359"/>
      <c r="N1" s="359"/>
      <c r="O1" s="360"/>
      <c r="P1" s="358" t="s">
        <v>82</v>
      </c>
      <c r="Q1" s="359"/>
      <c r="R1" s="359"/>
      <c r="S1" s="360"/>
    </row>
    <row r="2" spans="1:19" ht="22.5" customHeight="1">
      <c r="A2" s="43"/>
      <c r="B2" s="43"/>
      <c r="C2" s="43"/>
      <c r="D2" s="51">
        <v>1</v>
      </c>
      <c r="E2" s="52">
        <v>2</v>
      </c>
      <c r="F2" s="52">
        <v>3</v>
      </c>
      <c r="G2" s="53">
        <v>4</v>
      </c>
      <c r="H2" s="51">
        <v>1</v>
      </c>
      <c r="I2" s="52">
        <v>2</v>
      </c>
      <c r="J2" s="52">
        <v>3</v>
      </c>
      <c r="K2" s="53">
        <v>4</v>
      </c>
      <c r="L2" s="51">
        <v>1</v>
      </c>
      <c r="M2" s="52">
        <v>2</v>
      </c>
      <c r="N2" s="52">
        <v>3</v>
      </c>
      <c r="O2" s="53">
        <v>4</v>
      </c>
      <c r="P2" s="51">
        <v>1</v>
      </c>
      <c r="Q2" s="52">
        <v>2</v>
      </c>
      <c r="R2" s="52">
        <v>3</v>
      </c>
      <c r="S2" s="53">
        <v>4</v>
      </c>
    </row>
    <row r="3" spans="1:19" ht="22.5" customHeight="1">
      <c r="A3" s="361" t="s">
        <v>209</v>
      </c>
      <c r="B3" s="362"/>
      <c r="C3" s="363"/>
      <c r="D3" s="54" t="s">
        <v>77</v>
      </c>
      <c r="E3" s="54" t="s">
        <v>77</v>
      </c>
      <c r="F3" s="54" t="s">
        <v>77</v>
      </c>
      <c r="G3" s="54" t="s">
        <v>77</v>
      </c>
      <c r="H3" s="54" t="s">
        <v>77</v>
      </c>
      <c r="I3" s="54" t="s">
        <v>77</v>
      </c>
      <c r="J3" s="54" t="s">
        <v>77</v>
      </c>
      <c r="K3" s="54" t="s">
        <v>77</v>
      </c>
      <c r="L3" s="54" t="s">
        <v>77</v>
      </c>
      <c r="M3" s="54" t="s">
        <v>77</v>
      </c>
      <c r="N3" s="54" t="s">
        <v>77</v>
      </c>
      <c r="O3" s="54" t="s">
        <v>77</v>
      </c>
      <c r="P3" s="54" t="s">
        <v>77</v>
      </c>
      <c r="Q3" s="54" t="s">
        <v>77</v>
      </c>
      <c r="R3" s="54" t="s">
        <v>77</v>
      </c>
      <c r="S3" s="54" t="s">
        <v>77</v>
      </c>
    </row>
    <row r="4" spans="1:19" ht="22.5" customHeight="1">
      <c r="A4" s="364" t="s">
        <v>210</v>
      </c>
      <c r="B4" s="364" t="s">
        <v>35</v>
      </c>
      <c r="C4" s="55" t="s">
        <v>188</v>
      </c>
      <c r="D4" s="56">
        <f>生产建设!I94*规则表!$P$17*(D$3="8小时")+生产建设!I94*规则表!$Q$17*(D$3="12小时")</f>
        <v>0</v>
      </c>
      <c r="E4" s="56">
        <f>生产建设!J94*规则表!$P$17*(E$3="8小时")+生产建设!J94*规则表!$Q$17*(E$3="12小时")</f>
        <v>0</v>
      </c>
      <c r="F4" s="56">
        <f>生产建设!K94*规则表!$P$17*(F$3="8小时")+生产建设!K94*规则表!$Q$17*(F$3="12小时")</f>
        <v>0</v>
      </c>
      <c r="G4" s="56">
        <f>生产建设!L94*规则表!$P$17*(G$3="8小时")+生产建设!L94*规则表!$Q$17*(G$3="12小时")</f>
        <v>0</v>
      </c>
      <c r="H4" s="56">
        <f>生产建设!M94*规则表!$P$17*(H$3="8小时")+生产建设!M94*规则表!$Q$17*(H$3="12小时")</f>
        <v>0</v>
      </c>
      <c r="I4" s="56">
        <f>生产建设!N94*规则表!$P$17*(I$3="8小时")+生产建设!N94*规则表!$Q$17*(I$3="12小时")</f>
        <v>0</v>
      </c>
      <c r="J4" s="56">
        <f>生产建设!O94*规则表!$P$17*(J$3="8小时")+生产建设!O94*规则表!$Q$17*(J$3="12小时")</f>
        <v>0</v>
      </c>
      <c r="K4" s="56">
        <f>生产建设!P94*规则表!$P$17*(K$3="8小时")+生产建设!P94*规则表!$Q$17*(K$3="12小时")</f>
        <v>0</v>
      </c>
      <c r="L4" s="56">
        <f>生产建设!Q94*规则表!$P$17*(L$3="8小时")+生产建设!Q94*规则表!$Q$17*(L$3="12小时")</f>
        <v>0</v>
      </c>
      <c r="M4" s="56">
        <f>生产建设!R94*规则表!$P$17*(M$3="8小时")+生产建设!R94*规则表!$Q$17*(M$3="12小时")</f>
        <v>0</v>
      </c>
      <c r="N4" s="56">
        <f>生产建设!S94*规则表!$P$17*(N$3="8小时")+生产建设!S94*规则表!$Q$17*(N$3="12小时")</f>
        <v>0</v>
      </c>
      <c r="O4" s="56">
        <f>生产建设!T94*规则表!$P$17*(O$3="8小时")+生产建设!T94*规则表!$Q$17*(O$3="12小时")</f>
        <v>0</v>
      </c>
      <c r="P4" s="56">
        <f>生产建设!U94*规则表!$P$17*(P$3="8小时")+生产建设!U94*规则表!$Q$17*(P$3="12小时")</f>
        <v>0</v>
      </c>
      <c r="Q4" s="56">
        <f>生产建设!V94*规则表!$P$17*(Q$3="8小时")+生产建设!V94*规则表!$Q$17*(Q$3="12小时")</f>
        <v>0</v>
      </c>
      <c r="R4" s="56">
        <f>生产建设!W94*规则表!$P$17*(R$3="8小时")+生产建设!W94*规则表!$Q$17*(R$3="12小时")</f>
        <v>0</v>
      </c>
      <c r="S4" s="56">
        <f>生产建设!X94*规则表!$P$17*(S$3="8小时")+生产建设!X94*规则表!$Q$17*(S$3="12小时")</f>
        <v>0</v>
      </c>
    </row>
    <row r="5" spans="1:19" ht="22.5" customHeight="1">
      <c r="A5" s="364"/>
      <c r="B5" s="364"/>
      <c r="C5" s="55" t="s">
        <v>189</v>
      </c>
      <c r="D5" s="54">
        <f>生产建设!I95*规则表!$P$17*(D$3="8小时")+生产建设!I95*规则表!$Q$17*(D$3="12小时")</f>
        <v>0</v>
      </c>
      <c r="E5" s="54">
        <f>生产建设!J95*规则表!$P$17*(E$3="8小时")+生产建设!J95*规则表!$Q$17*(E$3="12小时")</f>
        <v>0</v>
      </c>
      <c r="F5" s="54">
        <f>生产建设!K95*规则表!$P$17*(F$3="8小时")+生产建设!K95*规则表!$Q$17*(F$3="12小时")</f>
        <v>0</v>
      </c>
      <c r="G5" s="57">
        <f>生产建设!L95*规则表!$P$17*(G$3="8小时")+生产建设!L95*规则表!$Q$17*(G$3="12小时")</f>
        <v>0</v>
      </c>
      <c r="H5" s="54">
        <f>生产建设!M95*规则表!$P$17*(H$3="8小时")+生产建设!M95*规则表!$Q$17*(H$3="12小时")</f>
        <v>0</v>
      </c>
      <c r="I5" s="54">
        <f>生产建设!N95*规则表!$P$17*(I$3="8小时")+生产建设!N95*规则表!$Q$17*(I$3="12小时")</f>
        <v>0</v>
      </c>
      <c r="J5" s="54">
        <f>生产建设!O95*规则表!$P$17*(J$3="8小时")+生产建设!O95*规则表!$Q$17*(J$3="12小时")</f>
        <v>0</v>
      </c>
      <c r="K5" s="57">
        <f>生产建设!P95*规则表!$P$17*(K$3="8小时")+生产建设!P95*规则表!$Q$17*(K$3="12小时")</f>
        <v>0</v>
      </c>
      <c r="L5" s="54">
        <f>生产建设!Q95*规则表!$P$17*(L$3="8小时")+生产建设!Q95*规则表!$Q$17*(L$3="12小时")</f>
        <v>0</v>
      </c>
      <c r="M5" s="54">
        <f>生产建设!R95*规则表!$P$17*(M$3="8小时")+生产建设!R95*规则表!$Q$17*(M$3="12小时")</f>
        <v>0</v>
      </c>
      <c r="N5" s="54">
        <f>生产建设!S95*规则表!$P$17*(N$3="8小时")+生产建设!S95*规则表!$Q$17*(N$3="12小时")</f>
        <v>0</v>
      </c>
      <c r="O5" s="57">
        <f>生产建设!T95*规则表!$P$17*(O$3="8小时")+生产建设!T95*规则表!$Q$17*(O$3="12小时")</f>
        <v>0</v>
      </c>
      <c r="P5" s="54">
        <f>生产建设!U95*规则表!$P$17*(P$3="8小时")+生产建设!U95*规则表!$Q$17*(P$3="12小时")</f>
        <v>0</v>
      </c>
      <c r="Q5" s="54">
        <f>生产建设!V95*规则表!$P$17*(Q$3="8小时")+生产建设!V95*规则表!$Q$17*(Q$3="12小时")</f>
        <v>0</v>
      </c>
      <c r="R5" s="54">
        <f>生产建设!W95*规则表!$P$17*(R$3="8小时")+生产建设!W95*规则表!$Q$17*(R$3="12小时")</f>
        <v>0</v>
      </c>
      <c r="S5" s="57">
        <f>生产建设!X95*规则表!$P$17*(S$3="8小时")+生产建设!X95*规则表!$Q$17*(S$3="12小时")</f>
        <v>0</v>
      </c>
    </row>
    <row r="6" spans="1:19" ht="22.5" customHeight="1">
      <c r="A6" s="364"/>
      <c r="B6" s="364"/>
      <c r="C6" s="55" t="s">
        <v>190</v>
      </c>
      <c r="D6" s="54">
        <f>生产建设!I96*规则表!$P$17*(D$3="8小时")+生产建设!I96*规则表!$Q$17*(D$3="12小时")</f>
        <v>0</v>
      </c>
      <c r="E6" s="54">
        <f>生产建设!J96*规则表!$P$17*(E$3="8小时")+生产建设!J96*规则表!$Q$17*(E$3="12小时")</f>
        <v>0</v>
      </c>
      <c r="F6" s="54">
        <f>生产建设!K96*规则表!$P$17*(F$3="8小时")+生产建设!K96*规则表!$Q$17*(F$3="12小时")</f>
        <v>0</v>
      </c>
      <c r="G6" s="57">
        <f>生产建设!L96*规则表!$P$17*(G$3="8小时")+生产建设!L96*规则表!$Q$17*(G$3="12小时")</f>
        <v>0</v>
      </c>
      <c r="H6" s="54">
        <f>生产建设!M96*规则表!$P$17*(H$3="8小时")+生产建设!M96*规则表!$Q$17*(H$3="12小时")</f>
        <v>0</v>
      </c>
      <c r="I6" s="54">
        <f>生产建设!N96*规则表!$P$17*(I$3="8小时")+生产建设!N96*规则表!$Q$17*(I$3="12小时")</f>
        <v>0</v>
      </c>
      <c r="J6" s="54">
        <f>生产建设!O96*规则表!$P$17*(J$3="8小时")+生产建设!O96*规则表!$Q$17*(J$3="12小时")</f>
        <v>0</v>
      </c>
      <c r="K6" s="57">
        <f>生产建设!P96*规则表!$P$17*(K$3="8小时")+生产建设!P96*规则表!$Q$17*(K$3="12小时")</f>
        <v>0</v>
      </c>
      <c r="L6" s="54">
        <f>生产建设!Q96*规则表!$P$17*(L$3="8小时")+生产建设!Q96*规则表!$Q$17*(L$3="12小时")</f>
        <v>0</v>
      </c>
      <c r="M6" s="54">
        <f>生产建设!R96*规则表!$P$17*(M$3="8小时")+生产建设!R96*规则表!$Q$17*(M$3="12小时")</f>
        <v>0</v>
      </c>
      <c r="N6" s="54">
        <f>生产建设!S96*规则表!$P$17*(N$3="8小时")+生产建设!S96*规则表!$Q$17*(N$3="12小时")</f>
        <v>0</v>
      </c>
      <c r="O6" s="57">
        <f>生产建设!T96*规则表!$P$17*(O$3="8小时")+生产建设!T96*规则表!$Q$17*(O$3="12小时")</f>
        <v>0</v>
      </c>
      <c r="P6" s="54">
        <f>生产建设!U96*规则表!$P$17*(P$3="8小时")+生产建设!U96*规则表!$Q$17*(P$3="12小时")</f>
        <v>0</v>
      </c>
      <c r="Q6" s="54">
        <f>生产建设!V96*规则表!$P$17*(Q$3="8小时")+生产建设!V96*规则表!$Q$17*(Q$3="12小时")</f>
        <v>0</v>
      </c>
      <c r="R6" s="54">
        <f>生产建设!W96*规则表!$P$17*(R$3="8小时")+生产建设!W96*规则表!$Q$17*(R$3="12小时")</f>
        <v>0</v>
      </c>
      <c r="S6" s="57">
        <f>生产建设!X96*规则表!$P$17*(S$3="8小时")+生产建设!X96*规则表!$Q$17*(S$3="12小时")</f>
        <v>0</v>
      </c>
    </row>
    <row r="7" spans="1:19" ht="22.5" customHeight="1">
      <c r="A7" s="364"/>
      <c r="B7" s="364"/>
      <c r="C7" s="55" t="s">
        <v>191</v>
      </c>
      <c r="D7" s="54">
        <f>生产建设!I97*规则表!$P$17*(D$3="8小时")+生产建设!I97*规则表!$Q$17*(D$3="12小时")</f>
        <v>1250</v>
      </c>
      <c r="E7" s="54">
        <f>生产建设!J97*规则表!$P$17*(E$3="8小时")+生产建设!J97*规则表!$Q$17*(E$3="12小时")</f>
        <v>0</v>
      </c>
      <c r="F7" s="54">
        <f>生产建设!K97*规则表!$P$17*(F$3="8小时")+生产建设!K97*规则表!$Q$17*(F$3="12小时")</f>
        <v>1250</v>
      </c>
      <c r="G7" s="57">
        <f>生产建设!L97*规则表!$P$17*(G$3="8小时")+生产建设!L97*规则表!$Q$17*(G$3="12小时")</f>
        <v>0</v>
      </c>
      <c r="H7" s="54">
        <f>生产建设!M97*规则表!$P$17*(H$3="8小时")+生产建设!M97*规则表!$Q$17*(H$3="12小时")</f>
        <v>1250</v>
      </c>
      <c r="I7" s="54">
        <f>生产建设!N97*规则表!$P$17*(I$3="8小时")+生产建设!N97*规则表!$Q$17*(I$3="12小时")</f>
        <v>0</v>
      </c>
      <c r="J7" s="54">
        <f>生产建设!O97*规则表!$P$17*(J$3="8小时")+生产建设!O97*规则表!$Q$17*(J$3="12小时")</f>
        <v>1250</v>
      </c>
      <c r="K7" s="57">
        <f>生产建设!P97*规则表!$P$17*(K$3="8小时")+生产建设!P97*规则表!$Q$17*(K$3="12小时")</f>
        <v>0</v>
      </c>
      <c r="L7" s="54">
        <f>生产建设!Q97*规则表!$P$17*(L$3="8小时")+生产建设!Q97*规则表!$Q$17*(L$3="12小时")</f>
        <v>0</v>
      </c>
      <c r="M7" s="54">
        <f>生产建设!R97*规则表!$P$17*(M$3="8小时")+生产建设!R97*规则表!$Q$17*(M$3="12小时")</f>
        <v>0</v>
      </c>
      <c r="N7" s="54">
        <f>生产建设!S97*规则表!$P$17*(N$3="8小时")+生产建设!S97*规则表!$Q$17*(N$3="12小时")</f>
        <v>0</v>
      </c>
      <c r="O7" s="57">
        <f>生产建设!T97*规则表!$P$17*(O$3="8小时")+生产建设!T97*规则表!$Q$17*(O$3="12小时")</f>
        <v>0</v>
      </c>
      <c r="P7" s="54">
        <f>生产建设!U97*规则表!$P$17*(P$3="8小时")+生产建设!U97*规则表!$Q$17*(P$3="12小时")</f>
        <v>0</v>
      </c>
      <c r="Q7" s="54">
        <f>生产建设!V97*规则表!$P$17*(Q$3="8小时")+生产建设!V97*规则表!$Q$17*(Q$3="12小时")</f>
        <v>0</v>
      </c>
      <c r="R7" s="54">
        <f>生产建设!W97*规则表!$P$17*(R$3="8小时")+生产建设!W97*规则表!$Q$17*(R$3="12小时")</f>
        <v>0</v>
      </c>
      <c r="S7" s="57">
        <f>生产建设!X97*规则表!$P$17*(S$3="8小时")+生产建设!X97*规则表!$Q$17*(S$3="12小时")</f>
        <v>0</v>
      </c>
    </row>
    <row r="8" spans="1:19" ht="22.5" customHeight="1">
      <c r="A8" s="364"/>
      <c r="B8" s="364"/>
      <c r="C8" s="55" t="s">
        <v>192</v>
      </c>
      <c r="D8" s="58">
        <f>生产建设!I98*规则表!$P$17*(D$3="8小时")+生产建设!I98*规则表!$Q$17*(D$3="12小时")</f>
        <v>0</v>
      </c>
      <c r="E8" s="58">
        <f>生产建设!J98*规则表!$P$17*(E$3="8小时")+生产建设!J98*规则表!$Q$17*(E$3="12小时")</f>
        <v>0</v>
      </c>
      <c r="F8" s="58">
        <f>生产建设!K98*规则表!$P$17*(F$3="8小时")+生产建设!K98*规则表!$Q$17*(F$3="12小时")</f>
        <v>0</v>
      </c>
      <c r="G8" s="58">
        <f>生产建设!L98*规则表!$P$17*(G$3="8小时")+生产建设!L98*规则表!$Q$17*(G$3="12小时")</f>
        <v>0</v>
      </c>
      <c r="H8" s="58">
        <f>生产建设!M98*规则表!$P$17*(H$3="8小时")+生产建设!M98*规则表!$Q$17*(H$3="12小时")</f>
        <v>0</v>
      </c>
      <c r="I8" s="58">
        <f>生产建设!N98*规则表!$P$17*(I$3="8小时")+生产建设!N98*规则表!$Q$17*(I$3="12小时")</f>
        <v>0</v>
      </c>
      <c r="J8" s="58">
        <f>生产建设!O98*规则表!$P$17*(J$3="8小时")+生产建设!O98*规则表!$Q$17*(J$3="12小时")</f>
        <v>0</v>
      </c>
      <c r="K8" s="58">
        <f>生产建设!P98*规则表!$P$17*(K$3="8小时")+生产建设!P98*规则表!$Q$17*(K$3="12小时")</f>
        <v>0</v>
      </c>
      <c r="L8" s="58">
        <f>生产建设!Q98*规则表!$P$17*(L$3="8小时")+生产建设!Q98*规则表!$Q$17*(L$3="12小时")</f>
        <v>0</v>
      </c>
      <c r="M8" s="58">
        <f>生产建设!R98*规则表!$P$17*(M$3="8小时")+生产建设!R98*规则表!$Q$17*(M$3="12小时")</f>
        <v>0</v>
      </c>
      <c r="N8" s="58">
        <f>生产建设!S98*规则表!$P$17*(N$3="8小时")+生产建设!S98*规则表!$Q$17*(N$3="12小时")</f>
        <v>0</v>
      </c>
      <c r="O8" s="58">
        <f>生产建设!T98*规则表!$P$17*(O$3="8小时")+生产建设!T98*规则表!$Q$17*(O$3="12小时")</f>
        <v>0</v>
      </c>
      <c r="P8" s="58">
        <f>生产建设!U98*规则表!$P$17*(P$3="8小时")+生产建设!U98*规则表!$Q$17*(P$3="12小时")</f>
        <v>0</v>
      </c>
      <c r="Q8" s="58">
        <f>生产建设!V98*规则表!$P$17*(Q$3="8小时")+生产建设!V98*规则表!$Q$17*(Q$3="12小时")</f>
        <v>0</v>
      </c>
      <c r="R8" s="58">
        <f>生产建设!W98*规则表!$P$17*(R$3="8小时")+生产建设!W98*规则表!$Q$17*(R$3="12小时")</f>
        <v>0</v>
      </c>
      <c r="S8" s="58">
        <f>生产建设!X98*规则表!$P$17*(S$3="8小时")+生产建设!X98*规则表!$Q$17*(S$3="12小时")</f>
        <v>0</v>
      </c>
    </row>
    <row r="9" spans="1:19" ht="22.5" customHeight="1">
      <c r="A9" s="364"/>
      <c r="B9" s="364" t="s">
        <v>36</v>
      </c>
      <c r="C9" s="55" t="s">
        <v>188</v>
      </c>
      <c r="D9" s="56">
        <f>生产建设!I99*规则表!$P$18*(D$3="8小时")+生产建设!I99*规则表!$Q$18*(D$3="12小时")</f>
        <v>0</v>
      </c>
      <c r="E9" s="56">
        <f>生产建设!J99*规则表!$P$18*(E$3="8小时")+生产建设!J99*规则表!$Q$18*(E$3="12小时")</f>
        <v>0</v>
      </c>
      <c r="F9" s="56">
        <f>生产建设!K99*规则表!$P$18*(F$3="8小时")+生产建设!K99*规则表!$Q$18*(F$3="12小时")</f>
        <v>0</v>
      </c>
      <c r="G9" s="56">
        <f>生产建设!L99*规则表!$P$18*(G$3="8小时")+生产建设!L99*规则表!$Q$18*(G$3="12小时")</f>
        <v>0</v>
      </c>
      <c r="H9" s="56">
        <f>生产建设!M99*规则表!$P$18*(H$3="8小时")+生产建设!M99*规则表!$Q$18*(H$3="12小时")</f>
        <v>0</v>
      </c>
      <c r="I9" s="56">
        <f>生产建设!N99*规则表!$P$18*(I$3="8小时")+生产建设!N99*规则表!$Q$18*(I$3="12小时")</f>
        <v>0</v>
      </c>
      <c r="J9" s="56">
        <f>生产建设!O99*规则表!$P$18*(J$3="8小时")+生产建设!O99*规则表!$Q$18*(J$3="12小时")</f>
        <v>0</v>
      </c>
      <c r="K9" s="56">
        <f>生产建设!P99*规则表!$P$18*(K$3="8小时")+生产建设!P99*规则表!$Q$18*(K$3="12小时")</f>
        <v>0</v>
      </c>
      <c r="L9" s="56">
        <f>生产建设!Q99*规则表!$P$18*(L$3="8小时")+生产建设!Q99*规则表!$Q$18*(L$3="12小时")</f>
        <v>0</v>
      </c>
      <c r="M9" s="56">
        <f>生产建设!R99*规则表!$P$18*(M$3="8小时")+生产建设!R99*规则表!$Q$18*(M$3="12小时")</f>
        <v>0</v>
      </c>
      <c r="N9" s="56">
        <f>生产建设!S99*规则表!$P$18*(N$3="8小时")+生产建设!S99*规则表!$Q$18*(N$3="12小时")</f>
        <v>0</v>
      </c>
      <c r="O9" s="56">
        <f>生产建设!T99*规则表!$P$18*(O$3="8小时")+生产建设!T99*规则表!$Q$18*(O$3="12小时")</f>
        <v>0</v>
      </c>
      <c r="P9" s="56">
        <f>生产建设!U99*规则表!$P$18*(P$3="8小时")+生产建设!U99*规则表!$Q$18*(P$3="12小时")</f>
        <v>0</v>
      </c>
      <c r="Q9" s="56">
        <f>生产建设!V99*规则表!$P$18*(Q$3="8小时")+生产建设!V99*规则表!$Q$18*(Q$3="12小时")</f>
        <v>0</v>
      </c>
      <c r="R9" s="56">
        <f>生产建设!W99*规则表!$P$18*(R$3="8小时")+生产建设!W99*规则表!$Q$18*(R$3="12小时")</f>
        <v>0</v>
      </c>
      <c r="S9" s="56">
        <f>生产建设!X99*规则表!$P$18*(S$3="8小时")+生产建设!X99*规则表!$Q$18*(S$3="12小时")</f>
        <v>0</v>
      </c>
    </row>
    <row r="10" spans="1:19" ht="22.5" customHeight="1">
      <c r="A10" s="364"/>
      <c r="B10" s="364"/>
      <c r="C10" s="55" t="s">
        <v>189</v>
      </c>
      <c r="D10" s="54">
        <f>生产建设!I100*规则表!$P$18*(D$3="8小时")+生产建设!I100*规则表!$Q$18*(D$3="12小时")</f>
        <v>0</v>
      </c>
      <c r="E10" s="54">
        <f>生产建设!J100*规则表!$P$18*(E$3="8小时")+生产建设!J100*规则表!$Q$18*(E$3="12小时")</f>
        <v>0</v>
      </c>
      <c r="F10" s="54">
        <f>生产建设!K100*规则表!$P$18*(F$3="8小时")+生产建设!K100*规则表!$Q$18*(F$3="12小时")</f>
        <v>0</v>
      </c>
      <c r="G10" s="57">
        <f>生产建设!L100*规则表!$P$18*(G$3="8小时")+生产建设!L100*规则表!$Q$18*(G$3="12小时")</f>
        <v>0</v>
      </c>
      <c r="H10" s="54">
        <f>生产建设!M100*规则表!$P$18*(H$3="8小时")+生产建设!M100*规则表!$Q$18*(H$3="12小时")</f>
        <v>0</v>
      </c>
      <c r="I10" s="54">
        <f>生产建设!N100*规则表!$P$18*(I$3="8小时")+生产建设!N100*规则表!$Q$18*(I$3="12小时")</f>
        <v>0</v>
      </c>
      <c r="J10" s="54">
        <f>生产建设!O100*规则表!$P$18*(J$3="8小时")+生产建设!O100*规则表!$Q$18*(J$3="12小时")</f>
        <v>0</v>
      </c>
      <c r="K10" s="57">
        <f>生产建设!P100*规则表!$P$18*(K$3="8小时")+生产建设!P100*规则表!$Q$18*(K$3="12小时")</f>
        <v>0</v>
      </c>
      <c r="L10" s="54">
        <f>生产建设!Q100*规则表!$P$18*(L$3="8小时")+生产建设!Q100*规则表!$Q$18*(L$3="12小时")</f>
        <v>0</v>
      </c>
      <c r="M10" s="54">
        <f>生产建设!R100*规则表!$P$18*(M$3="8小时")+生产建设!R100*规则表!$Q$18*(M$3="12小时")</f>
        <v>0</v>
      </c>
      <c r="N10" s="54">
        <f>生产建设!S100*规则表!$P$18*(N$3="8小时")+生产建设!S100*规则表!$Q$18*(N$3="12小时")</f>
        <v>0</v>
      </c>
      <c r="O10" s="57">
        <f>生产建设!T100*规则表!$P$18*(O$3="8小时")+生产建设!T100*规则表!$Q$18*(O$3="12小时")</f>
        <v>0</v>
      </c>
      <c r="P10" s="54">
        <f>生产建设!U100*规则表!$P$18*(P$3="8小时")+生产建设!U100*规则表!$Q$18*(P$3="12小时")</f>
        <v>0</v>
      </c>
      <c r="Q10" s="54">
        <f>生产建设!V100*规则表!$P$18*(Q$3="8小时")+生产建设!V100*规则表!$Q$18*(Q$3="12小时")</f>
        <v>0</v>
      </c>
      <c r="R10" s="54">
        <f>生产建设!W100*规则表!$P$18*(R$3="8小时")+生产建设!W100*规则表!$Q$18*(R$3="12小时")</f>
        <v>0</v>
      </c>
      <c r="S10" s="57">
        <f>生产建设!X100*规则表!$P$18*(S$3="8小时")+生产建设!X100*规则表!$Q$18*(S$3="12小时")</f>
        <v>0</v>
      </c>
    </row>
    <row r="11" spans="1:19" ht="22.5" customHeight="1">
      <c r="A11" s="364"/>
      <c r="B11" s="364"/>
      <c r="C11" s="55" t="s">
        <v>190</v>
      </c>
      <c r="D11" s="54">
        <f>生产建设!I101*规则表!$P$18*(D$3="8小时")+生产建设!I101*规则表!$Q$18*(D$3="12小时")</f>
        <v>0</v>
      </c>
      <c r="E11" s="54">
        <f>生产建设!J101*规则表!$P$18*(E$3="8小时")+生产建设!J101*规则表!$Q$18*(E$3="12小时")</f>
        <v>0</v>
      </c>
      <c r="F11" s="54">
        <f>生产建设!K101*规则表!$P$18*(F$3="8小时")+生产建设!K101*规则表!$Q$18*(F$3="12小时")</f>
        <v>0</v>
      </c>
      <c r="G11" s="57">
        <f>生产建设!L101*规则表!$P$18*(G$3="8小时")+生产建设!L101*规则表!$Q$18*(G$3="12小时")</f>
        <v>0</v>
      </c>
      <c r="H11" s="54">
        <f>生产建设!M101*规则表!$P$18*(H$3="8小时")+生产建设!M101*规则表!$Q$18*(H$3="12小时")</f>
        <v>0</v>
      </c>
      <c r="I11" s="54">
        <f>生产建设!N101*规则表!$P$18*(I$3="8小时")+生产建设!N101*规则表!$Q$18*(I$3="12小时")</f>
        <v>0</v>
      </c>
      <c r="J11" s="54">
        <f>生产建设!O101*规则表!$P$18*(J$3="8小时")+生产建设!O101*规则表!$Q$18*(J$3="12小时")</f>
        <v>0</v>
      </c>
      <c r="K11" s="57">
        <f>生产建设!P101*规则表!$P$18*(K$3="8小时")+生产建设!P101*规则表!$Q$18*(K$3="12小时")</f>
        <v>0</v>
      </c>
      <c r="L11" s="54">
        <f>生产建设!Q101*规则表!$P$18*(L$3="8小时")+生产建设!Q101*规则表!$Q$18*(L$3="12小时")</f>
        <v>0</v>
      </c>
      <c r="M11" s="54">
        <f>生产建设!R101*规则表!$P$18*(M$3="8小时")+生产建设!R101*规则表!$Q$18*(M$3="12小时")</f>
        <v>0</v>
      </c>
      <c r="N11" s="54">
        <f>生产建设!S101*规则表!$P$18*(N$3="8小时")+生产建设!S101*规则表!$Q$18*(N$3="12小时")</f>
        <v>0</v>
      </c>
      <c r="O11" s="57">
        <f>生产建设!T101*规则表!$P$18*(O$3="8小时")+生产建设!T101*规则表!$Q$18*(O$3="12小时")</f>
        <v>0</v>
      </c>
      <c r="P11" s="54">
        <f>生产建设!U101*规则表!$P$18*(P$3="8小时")+生产建设!U101*规则表!$Q$18*(P$3="12小时")</f>
        <v>0</v>
      </c>
      <c r="Q11" s="54">
        <f>生产建设!V101*规则表!$P$18*(Q$3="8小时")+生产建设!V101*规则表!$Q$18*(Q$3="12小时")</f>
        <v>0</v>
      </c>
      <c r="R11" s="54">
        <f>生产建设!W101*规则表!$P$18*(R$3="8小时")+生产建设!W101*规则表!$Q$18*(R$3="12小时")</f>
        <v>0</v>
      </c>
      <c r="S11" s="57">
        <f>生产建设!X101*规则表!$P$18*(S$3="8小时")+生产建设!X101*规则表!$Q$18*(S$3="12小时")</f>
        <v>0</v>
      </c>
    </row>
    <row r="12" spans="1:19" ht="22.5" customHeight="1">
      <c r="A12" s="364"/>
      <c r="B12" s="364"/>
      <c r="C12" s="55" t="s">
        <v>191</v>
      </c>
      <c r="D12" s="54">
        <f>生产建设!I102*规则表!$P$18*(D$3="8小时")+生产建设!I102*规则表!$Q$18*(D$3="12小时")</f>
        <v>0</v>
      </c>
      <c r="E12" s="54">
        <f>生产建设!J102*规则表!$P$18*(E$3="8小时")+生产建设!J102*规则表!$Q$18*(E$3="12小时")</f>
        <v>0</v>
      </c>
      <c r="F12" s="54">
        <f>生产建设!K102*规则表!$P$18*(F$3="8小时")+生产建设!K102*规则表!$Q$18*(F$3="12小时")</f>
        <v>0</v>
      </c>
      <c r="G12" s="57">
        <f>生产建设!L102*规则表!$P$18*(G$3="8小时")+生产建设!L102*规则表!$Q$18*(G$3="12小时")</f>
        <v>0</v>
      </c>
      <c r="H12" s="54">
        <f>生产建设!M102*规则表!$P$18*(H$3="8小时")+生产建设!M102*规则表!$Q$18*(H$3="12小时")</f>
        <v>0</v>
      </c>
      <c r="I12" s="54">
        <f>生产建设!N102*规则表!$P$18*(I$3="8小时")+生产建设!N102*规则表!$Q$18*(I$3="12小时")</f>
        <v>0</v>
      </c>
      <c r="J12" s="54">
        <f>生产建设!O102*规则表!$P$18*(J$3="8小时")+生产建设!O102*规则表!$Q$18*(J$3="12小时")</f>
        <v>0</v>
      </c>
      <c r="K12" s="57">
        <f>生产建设!P102*规则表!$P$18*(K$3="8小时")+生产建设!P102*规则表!$Q$18*(K$3="12小时")</f>
        <v>0</v>
      </c>
      <c r="L12" s="54">
        <f>生产建设!Q102*规则表!$P$18*(L$3="8小时")+生产建设!Q102*规则表!$Q$18*(L$3="12小时")</f>
        <v>0</v>
      </c>
      <c r="M12" s="54">
        <f>生产建设!R102*规则表!$P$18*(M$3="8小时")+生产建设!R102*规则表!$Q$18*(M$3="12小时")</f>
        <v>0</v>
      </c>
      <c r="N12" s="54">
        <f>生产建设!S102*规则表!$P$18*(N$3="8小时")+生产建设!S102*规则表!$Q$18*(N$3="12小时")</f>
        <v>0</v>
      </c>
      <c r="O12" s="57">
        <f>生产建设!T102*规则表!$P$18*(O$3="8小时")+生产建设!T102*规则表!$Q$18*(O$3="12小时")</f>
        <v>0</v>
      </c>
      <c r="P12" s="54">
        <f>生产建设!U102*规则表!$P$18*(P$3="8小时")+生产建设!U102*规则表!$Q$18*(P$3="12小时")</f>
        <v>0</v>
      </c>
      <c r="Q12" s="54">
        <f>生产建设!V102*规则表!$P$18*(Q$3="8小时")+生产建设!V102*规则表!$Q$18*(Q$3="12小时")</f>
        <v>0</v>
      </c>
      <c r="R12" s="54">
        <f>生产建设!W102*规则表!$P$18*(R$3="8小时")+生产建设!W102*规则表!$Q$18*(R$3="12小时")</f>
        <v>0</v>
      </c>
      <c r="S12" s="57">
        <f>生产建设!X102*规则表!$P$18*(S$3="8小时")+生产建设!X102*规则表!$Q$18*(S$3="12小时")</f>
        <v>0</v>
      </c>
    </row>
    <row r="13" spans="1:19" ht="22.5" customHeight="1">
      <c r="A13" s="364"/>
      <c r="B13" s="364"/>
      <c r="C13" s="55" t="s">
        <v>192</v>
      </c>
      <c r="D13" s="58">
        <f>生产建设!I103*规则表!$P$18*(D$3="8小时")+生产建设!I103*规则表!$Q$18*(D$3="12小时")</f>
        <v>0</v>
      </c>
      <c r="E13" s="58">
        <f>生产建设!J103*规则表!$P$18*(E$3="8小时")+生产建设!J103*规则表!$Q$18*(E$3="12小时")</f>
        <v>0</v>
      </c>
      <c r="F13" s="58">
        <f>生产建设!K103*规则表!$P$18*(F$3="8小时")+生产建设!K103*规则表!$Q$18*(F$3="12小时")</f>
        <v>0</v>
      </c>
      <c r="G13" s="58">
        <f>生产建设!L103*规则表!$P$18*(G$3="8小时")+生产建设!L103*规则表!$Q$18*(G$3="12小时")</f>
        <v>0</v>
      </c>
      <c r="H13" s="58">
        <f>生产建设!M103*规则表!$P$18*(H$3="8小时")+生产建设!M103*规则表!$Q$18*(H$3="12小时")</f>
        <v>0</v>
      </c>
      <c r="I13" s="58">
        <f>生产建设!N103*规则表!$P$18*(I$3="8小时")+生产建设!N103*规则表!$Q$18*(I$3="12小时")</f>
        <v>0</v>
      </c>
      <c r="J13" s="58">
        <f>生产建设!O103*规则表!$P$18*(J$3="8小时")+生产建设!O103*规则表!$Q$18*(J$3="12小时")</f>
        <v>0</v>
      </c>
      <c r="K13" s="58">
        <f>生产建设!P103*规则表!$P$18*(K$3="8小时")+生产建设!P103*规则表!$Q$18*(K$3="12小时")</f>
        <v>0</v>
      </c>
      <c r="L13" s="58">
        <f>生产建设!Q103*规则表!$P$18*(L$3="8小时")+生产建设!Q103*规则表!$Q$18*(L$3="12小时")</f>
        <v>0</v>
      </c>
      <c r="M13" s="58">
        <f>生产建设!R103*规则表!$P$18*(M$3="8小时")+生产建设!R103*规则表!$Q$18*(M$3="12小时")</f>
        <v>0</v>
      </c>
      <c r="N13" s="58">
        <f>生产建设!S103*规则表!$P$18*(N$3="8小时")+生产建设!S103*规则表!$Q$18*(N$3="12小时")</f>
        <v>0</v>
      </c>
      <c r="O13" s="58">
        <f>生产建设!T103*规则表!$P$18*(O$3="8小时")+生产建设!T103*规则表!$Q$18*(O$3="12小时")</f>
        <v>0</v>
      </c>
      <c r="P13" s="58">
        <f>生产建设!U103*规则表!$P$18*(P$3="8小时")+生产建设!U103*规则表!$Q$18*(P$3="12小时")</f>
        <v>0</v>
      </c>
      <c r="Q13" s="58">
        <f>生产建设!V103*规则表!$P$18*(Q$3="8小时")+生产建设!V103*规则表!$Q$18*(Q$3="12小时")</f>
        <v>0</v>
      </c>
      <c r="R13" s="58">
        <f>生产建设!W103*规则表!$P$18*(R$3="8小时")+生产建设!W103*规则表!$Q$18*(R$3="12小时")</f>
        <v>0</v>
      </c>
      <c r="S13" s="58">
        <f>生产建设!X103*规则表!$P$18*(S$3="8小时")+生产建设!X103*规则表!$Q$18*(S$3="12小时")</f>
        <v>0</v>
      </c>
    </row>
    <row r="14" spans="1:19" ht="22.5" customHeight="1">
      <c r="A14" s="364"/>
      <c r="B14" s="364" t="s">
        <v>37</v>
      </c>
      <c r="C14" s="55" t="s">
        <v>188</v>
      </c>
      <c r="D14" s="56">
        <f>生产建设!I104*规则表!$P$19*(D$3="8小时")+生产建设!I104*规则表!$P$19*(D$3="12小时")</f>
        <v>0</v>
      </c>
      <c r="E14" s="56">
        <f>生产建设!J104*规则表!$P$19*(E$3="8小时")+生产建设!J104*规则表!$P$19*(E$3="12小时")</f>
        <v>0</v>
      </c>
      <c r="F14" s="56">
        <f>生产建设!K104*规则表!$P$19*(F$3="8小时")+生产建设!K104*规则表!$P$19*(F$3="12小时")</f>
        <v>0</v>
      </c>
      <c r="G14" s="56">
        <f>生产建设!L104*规则表!$P$19*(G$3="8小时")+生产建设!L104*规则表!$P$19*(G$3="12小时")</f>
        <v>0</v>
      </c>
      <c r="H14" s="56">
        <f>生产建设!M104*规则表!$P$19*(H$3="8小时")+生产建设!M104*规则表!$P$19*(H$3="12小时")</f>
        <v>0</v>
      </c>
      <c r="I14" s="56">
        <f>生产建设!N104*规则表!$P$19*(I$3="8小时")+生产建设!N104*规则表!$P$19*(I$3="12小时")</f>
        <v>0</v>
      </c>
      <c r="J14" s="56">
        <f>生产建设!O104*规则表!$P$19*(J$3="8小时")+生产建设!O104*规则表!$P$19*(J$3="12小时")</f>
        <v>0</v>
      </c>
      <c r="K14" s="56">
        <f>生产建设!P104*规则表!$P$19*(K$3="8小时")+生产建设!P104*规则表!$P$19*(K$3="12小时")</f>
        <v>0</v>
      </c>
      <c r="L14" s="56">
        <f>生产建设!Q104*规则表!$P$19*(L$3="8小时")+生产建设!Q104*规则表!$P$19*(L$3="12小时")</f>
        <v>0</v>
      </c>
      <c r="M14" s="56">
        <f>生产建设!R104*规则表!$P$19*(M$3="8小时")+生产建设!R104*规则表!$P$19*(M$3="12小时")</f>
        <v>0</v>
      </c>
      <c r="N14" s="56">
        <f>生产建设!S104*规则表!$P$19*(N$3="8小时")+生产建设!S104*规则表!$P$19*(N$3="12小时")</f>
        <v>0</v>
      </c>
      <c r="O14" s="56">
        <f>生产建设!T104*规则表!$P$19*(O$3="8小时")+生产建设!T104*规则表!$P$19*(O$3="12小时")</f>
        <v>0</v>
      </c>
      <c r="P14" s="56">
        <f>生产建设!U104*规则表!$P$19*(P$3="8小时")+生产建设!U104*规则表!$P$19*(P$3="12小时")</f>
        <v>0</v>
      </c>
      <c r="Q14" s="56">
        <f>生产建设!V104*规则表!$P$19*(Q$3="8小时")+生产建设!V104*规则表!$P$19*(Q$3="12小时")</f>
        <v>0</v>
      </c>
      <c r="R14" s="56">
        <f>生产建设!W104*规则表!$P$19*(R$3="8小时")+生产建设!W104*规则表!$P$19*(R$3="12小时")</f>
        <v>0</v>
      </c>
      <c r="S14" s="56">
        <f>生产建设!X104*规则表!$P$19*(S$3="8小时")+生产建设!X104*规则表!$P$19*(S$3="12小时")</f>
        <v>0</v>
      </c>
    </row>
    <row r="15" spans="1:19" ht="22.5" customHeight="1">
      <c r="A15" s="364"/>
      <c r="B15" s="364"/>
      <c r="C15" s="55" t="s">
        <v>189</v>
      </c>
      <c r="D15" s="54">
        <f>生产建设!I105*规则表!$P$19*(D$3="8小时")+生产建设!I105*规则表!$P$19*(D$3="12小时")</f>
        <v>0</v>
      </c>
      <c r="E15" s="54">
        <f>生产建设!J105*规则表!$P$19*(E$3="8小时")+生产建设!J105*规则表!$P$19*(E$3="12小时")</f>
        <v>0</v>
      </c>
      <c r="F15" s="54">
        <f>生产建设!K105*规则表!$P$19*(F$3="8小时")+生产建设!K105*规则表!$P$19*(F$3="12小时")</f>
        <v>0</v>
      </c>
      <c r="G15" s="57">
        <f>生产建设!L105*规则表!$P$19*(G$3="8小时")+生产建设!L105*规则表!$P$19*(G$3="12小时")</f>
        <v>0</v>
      </c>
      <c r="H15" s="54">
        <f>生产建设!M105*规则表!$P$19*(H$3="8小时")+生产建设!M105*规则表!$P$19*(H$3="12小时")</f>
        <v>0</v>
      </c>
      <c r="I15" s="54">
        <f>生产建设!N105*规则表!$P$19*(I$3="8小时")+生产建设!N105*规则表!$P$19*(I$3="12小时")</f>
        <v>0</v>
      </c>
      <c r="J15" s="54">
        <f>生产建设!O105*规则表!$P$19*(J$3="8小时")+生产建设!O105*规则表!$P$19*(J$3="12小时")</f>
        <v>0</v>
      </c>
      <c r="K15" s="57">
        <f>生产建设!P105*规则表!$P$19*(K$3="8小时")+生产建设!P105*规则表!$P$19*(K$3="12小时")</f>
        <v>0</v>
      </c>
      <c r="L15" s="54">
        <f>生产建设!Q105*规则表!$P$19*(L$3="8小时")+生产建设!Q105*规则表!$P$19*(L$3="12小时")</f>
        <v>0</v>
      </c>
      <c r="M15" s="54">
        <f>生产建设!R105*规则表!$P$19*(M$3="8小时")+生产建设!R105*规则表!$P$19*(M$3="12小时")</f>
        <v>0</v>
      </c>
      <c r="N15" s="54">
        <f>生产建设!S105*规则表!$P$19*(N$3="8小时")+生产建设!S105*规则表!$P$19*(N$3="12小时")</f>
        <v>0</v>
      </c>
      <c r="O15" s="57">
        <f>生产建设!T105*规则表!$P$19*(O$3="8小时")+生产建设!T105*规则表!$P$19*(O$3="12小时")</f>
        <v>0</v>
      </c>
      <c r="P15" s="54">
        <f>生产建设!U105*规则表!$P$19*(P$3="8小时")+生产建设!U105*规则表!$P$19*(P$3="12小时")</f>
        <v>0</v>
      </c>
      <c r="Q15" s="54">
        <f>生产建设!V105*规则表!$P$19*(Q$3="8小时")+生产建设!V105*规则表!$P$19*(Q$3="12小时")</f>
        <v>0</v>
      </c>
      <c r="R15" s="54">
        <f>生产建设!W105*规则表!$P$19*(R$3="8小时")+生产建设!W105*规则表!$P$19*(R$3="12小时")</f>
        <v>0</v>
      </c>
      <c r="S15" s="57">
        <f>生产建设!X105*规则表!$P$19*(S$3="8小时")+生产建设!X105*规则表!$P$19*(S$3="12小时")</f>
        <v>0</v>
      </c>
    </row>
    <row r="16" spans="1:19" ht="22.5" customHeight="1">
      <c r="A16" s="364"/>
      <c r="B16" s="364"/>
      <c r="C16" s="55" t="s">
        <v>190</v>
      </c>
      <c r="D16" s="54">
        <f>生产建设!I106*规则表!$P$19*(D$3="8小时")+生产建设!I106*规则表!$P$19*(D$3="12小时")</f>
        <v>0</v>
      </c>
      <c r="E16" s="54">
        <f>生产建设!J106*规则表!$P$19*(E$3="8小时")+生产建设!J106*规则表!$P$19*(E$3="12小时")</f>
        <v>0</v>
      </c>
      <c r="F16" s="54">
        <f>生产建设!K106*规则表!$P$19*(F$3="8小时")+生产建设!K106*规则表!$P$19*(F$3="12小时")</f>
        <v>0</v>
      </c>
      <c r="G16" s="57">
        <f>生产建设!L106*规则表!$P$19*(G$3="8小时")+生产建设!L106*规则表!$P$19*(G$3="12小时")</f>
        <v>0</v>
      </c>
      <c r="H16" s="54">
        <f>生产建设!M106*规则表!$P$19*(H$3="8小时")+生产建设!M106*规则表!$P$19*(H$3="12小时")</f>
        <v>0</v>
      </c>
      <c r="I16" s="54">
        <f>生产建设!N106*规则表!$P$19*(I$3="8小时")+生产建设!N106*规则表!$P$19*(I$3="12小时")</f>
        <v>0</v>
      </c>
      <c r="J16" s="54">
        <f>生产建设!O106*规则表!$P$19*(J$3="8小时")+生产建设!O106*规则表!$P$19*(J$3="12小时")</f>
        <v>0</v>
      </c>
      <c r="K16" s="57">
        <f>生产建设!P106*规则表!$P$19*(K$3="8小时")+生产建设!P106*规则表!$P$19*(K$3="12小时")</f>
        <v>0</v>
      </c>
      <c r="L16" s="54">
        <f>生产建设!Q106*规则表!$P$19*(L$3="8小时")+生产建设!Q106*规则表!$P$19*(L$3="12小时")</f>
        <v>0</v>
      </c>
      <c r="M16" s="54">
        <f>生产建设!R106*规则表!$P$19*(M$3="8小时")+生产建设!R106*规则表!$P$19*(M$3="12小时")</f>
        <v>0</v>
      </c>
      <c r="N16" s="54">
        <f>生产建设!S106*规则表!$P$19*(N$3="8小时")+生产建设!S106*规则表!$P$19*(N$3="12小时")</f>
        <v>0</v>
      </c>
      <c r="O16" s="57">
        <f>生产建设!T106*规则表!$P$19*(O$3="8小时")+生产建设!T106*规则表!$P$19*(O$3="12小时")</f>
        <v>0</v>
      </c>
      <c r="P16" s="54">
        <f>生产建设!U106*规则表!$P$19*(P$3="8小时")+生产建设!U106*规则表!$P$19*(P$3="12小时")</f>
        <v>0</v>
      </c>
      <c r="Q16" s="54">
        <f>生产建设!V106*规则表!$P$19*(Q$3="8小时")+生产建设!V106*规则表!$P$19*(Q$3="12小时")</f>
        <v>0</v>
      </c>
      <c r="R16" s="54">
        <f>生产建设!W106*规则表!$P$19*(R$3="8小时")+生产建设!W106*规则表!$P$19*(R$3="12小时")</f>
        <v>0</v>
      </c>
      <c r="S16" s="57">
        <f>生产建设!X106*规则表!$P$19*(S$3="8小时")+生产建设!X106*规则表!$P$19*(S$3="12小时")</f>
        <v>0</v>
      </c>
    </row>
    <row r="17" spans="1:21" ht="22.5" customHeight="1">
      <c r="A17" s="364"/>
      <c r="B17" s="364"/>
      <c r="C17" s="55" t="s">
        <v>191</v>
      </c>
      <c r="D17" s="54">
        <f>生产建设!I107*规则表!$P$19*(D$3="8小时")+生产建设!I107*规则表!$P$19*(D$3="12小时")</f>
        <v>0</v>
      </c>
      <c r="E17" s="54">
        <f>生产建设!J107*规则表!$P$19*(E$3="8小时")+生产建设!J107*规则表!$P$19*(E$3="12小时")</f>
        <v>0</v>
      </c>
      <c r="F17" s="54">
        <f>生产建设!K107*规则表!$P$19*(F$3="8小时")+生产建设!K107*规则表!$P$19*(F$3="12小时")</f>
        <v>0</v>
      </c>
      <c r="G17" s="57">
        <f>生产建设!L107*规则表!$P$19*(G$3="8小时")+生产建设!L107*规则表!$P$19*(G$3="12小时")</f>
        <v>0</v>
      </c>
      <c r="H17" s="54">
        <f>生产建设!M107*规则表!$P$19*(H$3="8小时")+生产建设!M107*规则表!$P$19*(H$3="12小时")</f>
        <v>0</v>
      </c>
      <c r="I17" s="54">
        <f>生产建设!N107*规则表!$P$19*(I$3="8小时")+生产建设!N107*规则表!$P$19*(I$3="12小时")</f>
        <v>0</v>
      </c>
      <c r="J17" s="54">
        <f>生产建设!O107*规则表!$P$19*(J$3="8小时")+生产建设!O107*规则表!$P$19*(J$3="12小时")</f>
        <v>0</v>
      </c>
      <c r="K17" s="57">
        <f>生产建设!P107*规则表!$P$19*(K$3="8小时")+生产建设!P107*规则表!$P$19*(K$3="12小时")</f>
        <v>0</v>
      </c>
      <c r="L17" s="54">
        <f>生产建设!Q107*规则表!$P$19*(L$3="8小时")+生产建设!Q107*规则表!$P$19*(L$3="12小时")</f>
        <v>0</v>
      </c>
      <c r="M17" s="54">
        <f>生产建设!R107*规则表!$P$19*(M$3="8小时")+生产建设!R107*规则表!$P$19*(M$3="12小时")</f>
        <v>0</v>
      </c>
      <c r="N17" s="54">
        <f>生产建设!S107*规则表!$P$19*(N$3="8小时")+生产建设!S107*规则表!$P$19*(N$3="12小时")</f>
        <v>0</v>
      </c>
      <c r="O17" s="57">
        <f>生产建设!T107*规则表!$P$19*(O$3="8小时")+生产建设!T107*规则表!$P$19*(O$3="12小时")</f>
        <v>0</v>
      </c>
      <c r="P17" s="54">
        <f>生产建设!U107*规则表!$P$19*(P$3="8小时")+生产建设!U107*规则表!$P$19*(P$3="12小时")</f>
        <v>0</v>
      </c>
      <c r="Q17" s="54">
        <f>生产建设!V107*规则表!$P$19*(Q$3="8小时")+生产建设!V107*规则表!$P$19*(Q$3="12小时")</f>
        <v>0</v>
      </c>
      <c r="R17" s="54">
        <f>生产建设!W107*规则表!$P$19*(R$3="8小时")+生产建设!W107*规则表!$P$19*(R$3="12小时")</f>
        <v>0</v>
      </c>
      <c r="S17" s="57">
        <f>生产建设!X107*规则表!$P$19*(S$3="8小时")+生产建设!X107*规则表!$P$19*(S$3="12小时")</f>
        <v>0</v>
      </c>
    </row>
    <row r="18" spans="1:21" ht="22.5" customHeight="1">
      <c r="A18" s="364"/>
      <c r="B18" s="364"/>
      <c r="C18" s="55" t="s">
        <v>192</v>
      </c>
      <c r="D18" s="58">
        <f>生产建设!I108*规则表!$P$19*(D$3="8小时")+生产建设!I108*规则表!$P$19*(D$3="12小时")</f>
        <v>0</v>
      </c>
      <c r="E18" s="58">
        <f>生产建设!J108*规则表!$P$19*(E$3="8小时")+生产建设!J108*规则表!$P$19*(E$3="12小时")</f>
        <v>0</v>
      </c>
      <c r="F18" s="58">
        <f>生产建设!K108*规则表!$P$19*(F$3="8小时")+生产建设!K108*规则表!$P$19*(F$3="12小时")</f>
        <v>0</v>
      </c>
      <c r="G18" s="58">
        <f>生产建设!L108*规则表!$P$19*(G$3="8小时")+生产建设!L108*规则表!$P$19*(G$3="12小时")</f>
        <v>0</v>
      </c>
      <c r="H18" s="58">
        <f>生产建设!M108*规则表!$P$19*(H$3="8小时")+生产建设!M108*规则表!$P$19*(H$3="12小时")</f>
        <v>0</v>
      </c>
      <c r="I18" s="58">
        <f>生产建设!N108*规则表!$P$19*(I$3="8小时")+生产建设!N108*规则表!$P$19*(I$3="12小时")</f>
        <v>0</v>
      </c>
      <c r="J18" s="58">
        <f>生产建设!O108*规则表!$P$19*(J$3="8小时")+生产建设!O108*规则表!$P$19*(J$3="12小时")</f>
        <v>0</v>
      </c>
      <c r="K18" s="58">
        <f>生产建设!P108*规则表!$P$19*(K$3="8小时")+生产建设!P108*规则表!$P$19*(K$3="12小时")</f>
        <v>0</v>
      </c>
      <c r="L18" s="58">
        <f>生产建设!Q108*规则表!$P$19*(L$3="8小时")+生产建设!Q108*规则表!$P$19*(L$3="12小时")</f>
        <v>0</v>
      </c>
      <c r="M18" s="58">
        <f>生产建设!R108*规则表!$P$19*(M$3="8小时")+生产建设!R108*规则表!$P$19*(M$3="12小时")</f>
        <v>0</v>
      </c>
      <c r="N18" s="58">
        <f>生产建设!S108*规则表!$P$19*(N$3="8小时")+生产建设!S108*规则表!$P$19*(N$3="12小时")</f>
        <v>0</v>
      </c>
      <c r="O18" s="58">
        <f>生产建设!T108*规则表!$P$19*(O$3="8小时")+生产建设!T108*规则表!$P$19*(O$3="12小时")</f>
        <v>0</v>
      </c>
      <c r="P18" s="58">
        <f>生产建设!U108*规则表!$P$19*(P$3="8小时")+生产建设!U108*规则表!$P$19*(P$3="12小时")</f>
        <v>0</v>
      </c>
      <c r="Q18" s="58">
        <f>生产建设!V108*规则表!$P$19*(Q$3="8小时")+生产建设!V108*规则表!$P$19*(Q$3="12小时")</f>
        <v>0</v>
      </c>
      <c r="R18" s="58">
        <f>生产建设!W108*规则表!$P$19*(R$3="8小时")+生产建设!W108*规则表!$P$19*(R$3="12小时")</f>
        <v>0</v>
      </c>
      <c r="S18" s="58">
        <f>生产建设!X108*规则表!$P$19*(S$3="8小时")+生产建设!X108*规则表!$P$19*(S$3="12小时")</f>
        <v>0</v>
      </c>
    </row>
    <row r="19" spans="1:21" ht="22.5" customHeight="1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</row>
    <row r="20" spans="1:21" ht="22.5" customHeight="1">
      <c r="A20" s="43"/>
      <c r="B20" s="364" t="s">
        <v>211</v>
      </c>
      <c r="C20" s="55" t="s">
        <v>40</v>
      </c>
      <c r="D20" s="60" cm="1">
        <f t="array" ref="D20">SUMPRODUCT(INDEX($C$4:$S$8,,COLUMN()+$C$52-2),$C$47:$C$51)+SUMPRODUCT(INDEX($C$9:$S$13,,COLUMN()+$C$52-2),$C$47:$C$51)+SUMPRODUCT(INDEX($C$14:$S$18,,COLUMN()+$C$52-2),$C$47:$C$51)</f>
        <v>0</v>
      </c>
      <c r="E20" s="60" cm="1">
        <f t="array" ref="E20">SUMPRODUCT(INDEX($C$4:$S$8,,COLUMN()+$C$52-2),$C$47:$C$51)+SUMPRODUCT(INDEX($C$9:$S$13,,COLUMN()+$C$52-2),$C$47:$C$51)+SUMPRODUCT(INDEX($C$14:$S$18,,COLUMN()+$C$52-2),$C$47:$C$51)</f>
        <v>7500</v>
      </c>
      <c r="F20" s="60" cm="1">
        <f t="array" ref="F20">SUMPRODUCT(INDEX($C$4:$S$8,,COLUMN()+$C$52-2),$C$47:$C$51)+SUMPRODUCT(INDEX($C$9:$S$13,,COLUMN()+$C$52-2),$C$47:$C$51)+SUMPRODUCT(INDEX($C$14:$S$18,,COLUMN()+$C$52-2),$C$47:$C$51)</f>
        <v>0</v>
      </c>
      <c r="G20" s="60" cm="1">
        <f t="array" ref="G20">SUMPRODUCT(INDEX($C$4:$S$8,,COLUMN()+$C$52-2),$C$47:$C$51)+SUMPRODUCT(INDEX($C$9:$S$13,,COLUMN()+$C$52-2),$C$47:$C$51)+SUMPRODUCT(INDEX($C$14:$S$18,,COLUMN()+$C$52-2),$C$47:$C$51)</f>
        <v>7500</v>
      </c>
      <c r="H20" s="60" cm="1">
        <f t="array" ref="H20">SUMPRODUCT(INDEX($C$4:$S$8,,COLUMN()+$C$52-2),$C$47:$C$51)+SUMPRODUCT(INDEX($C$9:$S$13,,COLUMN()+$C$52-2),$C$47:$C$51)+SUMPRODUCT(INDEX($C$14:$S$18,,COLUMN()+$C$52-2),$C$47:$C$51)</f>
        <v>0</v>
      </c>
      <c r="I20" s="60" cm="1">
        <f t="array" ref="I20">SUMPRODUCT(INDEX($C$4:$S$8,,COLUMN()+$C$52-2),$C$47:$C$51)+SUMPRODUCT(INDEX($C$9:$S$13,,COLUMN()+$C$52-2),$C$47:$C$51)+SUMPRODUCT(INDEX($C$14:$S$18,,COLUMN()+$C$52-2),$C$47:$C$51)</f>
        <v>7500</v>
      </c>
      <c r="J20" s="60" cm="1">
        <f t="array" ref="J20">SUMPRODUCT(INDEX($C$4:$S$8,,COLUMN()+$C$52-2),$C$47:$C$51)+SUMPRODUCT(INDEX($C$9:$S$13,,COLUMN()+$C$52-2),$C$47:$C$51)+SUMPRODUCT(INDEX($C$14:$S$18,,COLUMN()+$C$52-2),$C$47:$C$51)</f>
        <v>0</v>
      </c>
      <c r="K20" s="60" cm="1">
        <f t="array" ref="K20">SUMPRODUCT(INDEX($C$4:$S$8,,COLUMN()+$C$52-2),$C$47:$C$51)+SUMPRODUCT(INDEX($C$9:$S$13,,COLUMN()+$C$52-2),$C$47:$C$51)+SUMPRODUCT(INDEX($C$14:$S$18,,COLUMN()+$C$52-2),$C$47:$C$51)</f>
        <v>0</v>
      </c>
      <c r="L20" s="60" cm="1">
        <f t="array" ref="L20">SUMPRODUCT(INDEX($C$4:$S$8,,COLUMN()+$C$52-2),$C$47:$C$51)+SUMPRODUCT(INDEX($C$9:$S$13,,COLUMN()+$C$52-2),$C$47:$C$51)+SUMPRODUCT(INDEX($C$14:$S$18,,COLUMN()+$C$52-2),$C$47:$C$51)</f>
        <v>0</v>
      </c>
      <c r="M20" s="60" cm="1">
        <f t="array" ref="M20">SUMPRODUCT(INDEX($C$4:$S$8,,COLUMN()+$C$52-2),$C$47:$C$51)+SUMPRODUCT(INDEX($C$9:$S$13,,COLUMN()+$C$52-2),$C$47:$C$51)+SUMPRODUCT(INDEX($C$14:$S$18,,COLUMN()+$C$52-2),$C$47:$C$51)</f>
        <v>0</v>
      </c>
      <c r="N20" s="60" cm="1">
        <f t="array" ref="N20">SUMPRODUCT(INDEX($C$4:$S$8,,COLUMN()+$C$52-2),$C$47:$C$51)+SUMPRODUCT(INDEX($C$9:$S$13,,COLUMN()+$C$52-2),$C$47:$C$51)+SUMPRODUCT(INDEX($C$14:$S$18,,COLUMN()+$C$52-2),$C$47:$C$51)</f>
        <v>0</v>
      </c>
      <c r="O20" s="60" cm="1">
        <f t="array" ref="O20">SUMPRODUCT(INDEX($C$4:$S$8,,COLUMN()+$C$52-2),$C$47:$C$51)+SUMPRODUCT(INDEX($C$9:$S$13,,COLUMN()+$C$52-2),$C$47:$C$51)+SUMPRODUCT(INDEX($C$14:$S$18,,COLUMN()+$C$52-2),$C$47:$C$51)</f>
        <v>0</v>
      </c>
      <c r="P20" s="60" cm="1">
        <f t="array" ref="P20">SUMPRODUCT(INDEX($C$4:$S$8,,COLUMN()+$C$52-2),$C$47:$C$51)+SUMPRODUCT(INDEX($C$9:$S$13,,COLUMN()+$C$52-2),$C$47:$C$51)+SUMPRODUCT(INDEX($C$14:$S$18,,COLUMN()+$C$52-2),$C$47:$C$51)</f>
        <v>0</v>
      </c>
      <c r="Q20" s="60" cm="1">
        <f t="array" ref="Q20">SUMPRODUCT(INDEX($C$4:$S$8,,COLUMN()+$C$52-2),$C$47:$C$51)+SUMPRODUCT(INDEX($C$9:$S$13,,COLUMN()+$C$52-2),$C$47:$C$51)+SUMPRODUCT(INDEX($C$14:$S$18,,COLUMN()+$C$52-2),$C$47:$C$51)</f>
        <v>0</v>
      </c>
      <c r="R20" s="60" cm="1">
        <f t="array" ref="R20">SUMPRODUCT(INDEX($C$4:$S$8,,COLUMN()+$C$52-2),$C$47:$C$51)+SUMPRODUCT(INDEX($C$9:$S$13,,COLUMN()+$C$52-2),$C$47:$C$51)+SUMPRODUCT(INDEX($C$14:$S$18,,COLUMN()+$C$52-2),$C$47:$C$51)</f>
        <v>0</v>
      </c>
      <c r="S20" s="60" t="e" cm="1">
        <f t="array" ref="S20">SUMPRODUCT(INDEX($C$4:$S$8,,COLUMN()+$C$52-2),$C$47:$C$51)+SUMPRODUCT(INDEX($C$9:$S$13,,COLUMN()+$C$52-2),$C$47:$C$51)+SUMPRODUCT(INDEX($C$14:$S$18,,COLUMN()+$C$52-2),$C$47:$C$51)</f>
        <v>#REF!</v>
      </c>
    </row>
    <row r="21" spans="1:21" ht="22.5" customHeight="1">
      <c r="A21" s="43"/>
      <c r="B21" s="364"/>
      <c r="C21" s="55" t="s">
        <v>41</v>
      </c>
      <c r="D21" s="61" cm="1">
        <f t="array" ref="D21">SUMPRODUCT(INDEX($C$4:$S$8,,COLUMN()+$D$52-2),$D$47:$D$51)+SUMPRODUCT(INDEX($C$9:$S$13,,COLUMN()+$D$52-2),$D$47:$D$51)+SUMPRODUCT(INDEX($C$14:$S$18,,COLUMN()+$D$52-2),$D$47:$D$51)</f>
        <v>0</v>
      </c>
      <c r="E21" s="61" cm="1">
        <f t="array" ref="E21">SUMPRODUCT(INDEX($C$4:$S$8,,COLUMN()+$D$52-2),$D$47:$D$51)+SUMPRODUCT(INDEX($C$9:$S$13,,COLUMN()+$D$52-2),$D$47:$D$51)+SUMPRODUCT(INDEX($C$14:$S$18,,COLUMN()+$D$52-2),$D$47:$D$51)</f>
        <v>8750</v>
      </c>
      <c r="F21" s="61" cm="1">
        <f t="array" ref="F21">SUMPRODUCT(INDEX($C$4:$S$8,,COLUMN()+$D$52-2),$D$47:$D$51)+SUMPRODUCT(INDEX($C$9:$S$13,,COLUMN()+$D$52-2),$D$47:$D$51)+SUMPRODUCT(INDEX($C$14:$S$18,,COLUMN()+$D$52-2),$D$47:$D$51)</f>
        <v>0</v>
      </c>
      <c r="G21" s="62" cm="1">
        <f t="array" ref="G21">SUMPRODUCT(INDEX($C$4:$S$8,,COLUMN()+$D$52-2),$D$47:$D$51)+SUMPRODUCT(INDEX($C$9:$S$13,,COLUMN()+$D$52-2),$D$47:$D$51)+SUMPRODUCT(INDEX($C$14:$S$18,,COLUMN()+$D$52-2),$D$47:$D$51)</f>
        <v>8750</v>
      </c>
      <c r="H21" s="61" cm="1">
        <f t="array" ref="H21">SUMPRODUCT(INDEX($C$4:$S$8,,COLUMN()+$D$52-2),$D$47:$D$51)+SUMPRODUCT(INDEX($C$9:$S$13,,COLUMN()+$D$52-2),$D$47:$D$51)+SUMPRODUCT(INDEX($C$14:$S$18,,COLUMN()+$D$52-2),$D$47:$D$51)</f>
        <v>0</v>
      </c>
      <c r="I21" s="61" cm="1">
        <f t="array" ref="I21">SUMPRODUCT(INDEX($C$4:$S$8,,COLUMN()+$D$52-2),$D$47:$D$51)+SUMPRODUCT(INDEX($C$9:$S$13,,COLUMN()+$D$52-2),$D$47:$D$51)+SUMPRODUCT(INDEX($C$14:$S$18,,COLUMN()+$D$52-2),$D$47:$D$51)</f>
        <v>8750</v>
      </c>
      <c r="J21" s="61" cm="1">
        <f t="array" ref="J21">SUMPRODUCT(INDEX($C$4:$S$8,,COLUMN()+$D$52-2),$D$47:$D$51)+SUMPRODUCT(INDEX($C$9:$S$13,,COLUMN()+$D$52-2),$D$47:$D$51)+SUMPRODUCT(INDEX($C$14:$S$18,,COLUMN()+$D$52-2),$D$47:$D$51)</f>
        <v>0</v>
      </c>
      <c r="K21" s="62" cm="1">
        <f t="array" ref="K21">SUMPRODUCT(INDEX($C$4:$S$8,,COLUMN()+$D$52-2),$D$47:$D$51)+SUMPRODUCT(INDEX($C$9:$S$13,,COLUMN()+$D$52-2),$D$47:$D$51)+SUMPRODUCT(INDEX($C$14:$S$18,,COLUMN()+$D$52-2),$D$47:$D$51)</f>
        <v>0</v>
      </c>
      <c r="L21" s="61" cm="1">
        <f t="array" ref="L21">SUMPRODUCT(INDEX($C$4:$S$8,,COLUMN()+$D$52-2),$D$47:$D$51)+SUMPRODUCT(INDEX($C$9:$S$13,,COLUMN()+$D$52-2),$D$47:$D$51)+SUMPRODUCT(INDEX($C$14:$S$18,,COLUMN()+$D$52-2),$D$47:$D$51)</f>
        <v>0</v>
      </c>
      <c r="M21" s="61" cm="1">
        <f t="array" ref="M21">SUMPRODUCT(INDEX($C$4:$S$8,,COLUMN()+$D$52-2),$D$47:$D$51)+SUMPRODUCT(INDEX($C$9:$S$13,,COLUMN()+$D$52-2),$D$47:$D$51)+SUMPRODUCT(INDEX($C$14:$S$18,,COLUMN()+$D$52-2),$D$47:$D$51)</f>
        <v>0</v>
      </c>
      <c r="N21" s="61" cm="1">
        <f t="array" ref="N21">SUMPRODUCT(INDEX($C$4:$S$8,,COLUMN()+$D$52-2),$D$47:$D$51)+SUMPRODUCT(INDEX($C$9:$S$13,,COLUMN()+$D$52-2),$D$47:$D$51)+SUMPRODUCT(INDEX($C$14:$S$18,,COLUMN()+$D$52-2),$D$47:$D$51)</f>
        <v>0</v>
      </c>
      <c r="O21" s="62" cm="1">
        <f t="array" ref="O21">SUMPRODUCT(INDEX($C$4:$S$8,,COLUMN()+$D$52-2),$D$47:$D$51)+SUMPRODUCT(INDEX($C$9:$S$13,,COLUMN()+$D$52-2),$D$47:$D$51)+SUMPRODUCT(INDEX($C$14:$S$18,,COLUMN()+$D$52-2),$D$47:$D$51)</f>
        <v>0</v>
      </c>
      <c r="P21" s="61" cm="1">
        <f t="array" ref="P21">SUMPRODUCT(INDEX($C$4:$S$8,,COLUMN()+$D$52-2),$D$47:$D$51)+SUMPRODUCT(INDEX($C$9:$S$13,,COLUMN()+$D$52-2),$D$47:$D$51)+SUMPRODUCT(INDEX($C$14:$S$18,,COLUMN()+$D$52-2),$D$47:$D$51)</f>
        <v>0</v>
      </c>
      <c r="Q21" s="61" cm="1">
        <f t="array" ref="Q21">SUMPRODUCT(INDEX($C$4:$S$8,,COLUMN()+$D$52-2),$D$47:$D$51)+SUMPRODUCT(INDEX($C$9:$S$13,,COLUMN()+$D$52-2),$D$47:$D$51)+SUMPRODUCT(INDEX($C$14:$S$18,,COLUMN()+$D$52-2),$D$47:$D$51)</f>
        <v>0</v>
      </c>
      <c r="R21" s="61" cm="1">
        <f t="array" ref="R21">SUMPRODUCT(INDEX($C$4:$S$8,,COLUMN()+$D$52-2),$D$47:$D$51)+SUMPRODUCT(INDEX($C$9:$S$13,,COLUMN()+$D$52-2),$D$47:$D$51)+SUMPRODUCT(INDEX($C$14:$S$18,,COLUMN()+$D$52-2),$D$47:$D$51)</f>
        <v>0</v>
      </c>
      <c r="S21" s="62" t="e" cm="1">
        <f t="array" ref="S21">SUMPRODUCT(INDEX($C$4:$S$8,,COLUMN()+$D$52-2),$D$47:$D$51)+SUMPRODUCT(INDEX($C$9:$S$13,,COLUMN()+$D$52-2),$D$47:$D$51)+SUMPRODUCT(INDEX($C$14:$S$18,,COLUMN()+$D$52-2),$D$47:$D$51)</f>
        <v>#REF!</v>
      </c>
      <c r="T21" s="63"/>
    </row>
    <row r="22" spans="1:21" ht="22.5" customHeight="1">
      <c r="A22" s="43"/>
      <c r="B22" s="364"/>
      <c r="C22" s="55" t="s">
        <v>42</v>
      </c>
      <c r="D22" s="61" cm="1">
        <f t="array" ref="D22">SUMPRODUCT(INDEX($C$4:$S$8,,COLUMN()-2+$E$52),$E$47:$E$51)+SUMPRODUCT(INDEX($C$9:$S$13,,COLUMN()-2+$E$52),$E$47:$E$51)+SUMPRODUCT(INDEX($C$14:$S$18,,COLUMN()-2+$E$52),$E$47:$E$51)</f>
        <v>0</v>
      </c>
      <c r="E22" s="61" cm="1">
        <f t="array" ref="E22">SUMPRODUCT(INDEX($C$4:$S$8,,COLUMN()-2+$E$52),$E$47:$E$51)+SUMPRODUCT(INDEX($C$9:$S$13,,COLUMN()-2+$E$52),$E$47:$E$51)+SUMPRODUCT(INDEX($C$14:$S$18,,COLUMN()-2+$E$52),$E$47:$E$51)</f>
        <v>6250</v>
      </c>
      <c r="F22" s="61" cm="1">
        <f t="array" ref="F22">SUMPRODUCT(INDEX($C$4:$S$8,,COLUMN()-2+$E$52),$E$47:$E$51)+SUMPRODUCT(INDEX($C$9:$S$13,,COLUMN()-2+$E$52),$E$47:$E$51)+SUMPRODUCT(INDEX($C$14:$S$18,,COLUMN()-2+$E$52),$E$47:$E$51)</f>
        <v>0</v>
      </c>
      <c r="G22" s="62" cm="1">
        <f t="array" ref="G22">SUMPRODUCT(INDEX($C$4:$S$8,,COLUMN()-2+$E$52),$E$47:$E$51)+SUMPRODUCT(INDEX($C$9:$S$13,,COLUMN()-2+$E$52),$E$47:$E$51)+SUMPRODUCT(INDEX($C$14:$S$18,,COLUMN()-2+$E$52),$E$47:$E$51)</f>
        <v>6250</v>
      </c>
      <c r="H22" s="61" cm="1">
        <f t="array" ref="H22">SUMPRODUCT(INDEX($C$4:$S$8,,COLUMN()-2+$E$52),$E$47:$E$51)+SUMPRODUCT(INDEX($C$9:$S$13,,COLUMN()-2+$E$52),$E$47:$E$51)+SUMPRODUCT(INDEX($C$14:$S$18,,COLUMN()-2+$E$52),$E$47:$E$51)</f>
        <v>0</v>
      </c>
      <c r="I22" s="61" cm="1">
        <f t="array" ref="I22">SUMPRODUCT(INDEX($C$4:$S$8,,COLUMN()-2+$E$52),$E$47:$E$51)+SUMPRODUCT(INDEX($C$9:$S$13,,COLUMN()-2+$E$52),$E$47:$E$51)+SUMPRODUCT(INDEX($C$14:$S$18,,COLUMN()-2+$E$52),$E$47:$E$51)</f>
        <v>6250</v>
      </c>
      <c r="J22" s="61" cm="1">
        <f t="array" ref="J22">SUMPRODUCT(INDEX($C$4:$S$8,,COLUMN()-2+$E$52),$E$47:$E$51)+SUMPRODUCT(INDEX($C$9:$S$13,,COLUMN()-2+$E$52),$E$47:$E$51)+SUMPRODUCT(INDEX($C$14:$S$18,,COLUMN()-2+$E$52),$E$47:$E$51)</f>
        <v>0</v>
      </c>
      <c r="K22" s="62" cm="1">
        <f t="array" ref="K22">SUMPRODUCT(INDEX($C$4:$S$8,,COLUMN()-2+$E$52),$E$47:$E$51)+SUMPRODUCT(INDEX($C$9:$S$13,,COLUMN()-2+$E$52),$E$47:$E$51)+SUMPRODUCT(INDEX($C$14:$S$18,,COLUMN()-2+$E$52),$E$47:$E$51)</f>
        <v>0</v>
      </c>
      <c r="L22" s="61" cm="1">
        <f t="array" ref="L22">SUMPRODUCT(INDEX($C$4:$S$8,,COLUMN()-2+$E$52),$E$47:$E$51)+SUMPRODUCT(INDEX($C$9:$S$13,,COLUMN()-2+$E$52),$E$47:$E$51)+SUMPRODUCT(INDEX($C$14:$S$18,,COLUMN()-2+$E$52),$E$47:$E$51)</f>
        <v>0</v>
      </c>
      <c r="M22" s="61" cm="1">
        <f t="array" ref="M22">SUMPRODUCT(INDEX($C$4:$S$8,,COLUMN()-2+$E$52),$E$47:$E$51)+SUMPRODUCT(INDEX($C$9:$S$13,,COLUMN()-2+$E$52),$E$47:$E$51)+SUMPRODUCT(INDEX($C$14:$S$18,,COLUMN()-2+$E$52),$E$47:$E$51)</f>
        <v>0</v>
      </c>
      <c r="N22" s="61" cm="1">
        <f t="array" ref="N22">SUMPRODUCT(INDEX($C$4:$S$8,,COLUMN()-2+$E$52),$E$47:$E$51)+SUMPRODUCT(INDEX($C$9:$S$13,,COLUMN()-2+$E$52),$E$47:$E$51)+SUMPRODUCT(INDEX($C$14:$S$18,,COLUMN()-2+$E$52),$E$47:$E$51)</f>
        <v>0</v>
      </c>
      <c r="O22" s="62" cm="1">
        <f t="array" ref="O22">SUMPRODUCT(INDEX($C$4:$S$8,,COLUMN()-2+$E$52),$E$47:$E$51)+SUMPRODUCT(INDEX($C$9:$S$13,,COLUMN()-2+$E$52),$E$47:$E$51)+SUMPRODUCT(INDEX($C$14:$S$18,,COLUMN()-2+$E$52),$E$47:$E$51)</f>
        <v>0</v>
      </c>
      <c r="P22" s="61" cm="1">
        <f t="array" ref="P22">SUMPRODUCT(INDEX($C$4:$S$8,,COLUMN()-2+$E$52),$E$47:$E$51)+SUMPRODUCT(INDEX($C$9:$S$13,,COLUMN()-2+$E$52),$E$47:$E$51)+SUMPRODUCT(INDEX($C$14:$S$18,,COLUMN()-2+$E$52),$E$47:$E$51)</f>
        <v>0</v>
      </c>
      <c r="Q22" s="61" cm="1">
        <f t="array" ref="Q22">SUMPRODUCT(INDEX($C$4:$S$8,,COLUMN()-2+$E$52),$E$47:$E$51)+SUMPRODUCT(INDEX($C$9:$S$13,,COLUMN()-2+$E$52),$E$47:$E$51)+SUMPRODUCT(INDEX($C$14:$S$18,,COLUMN()-2+$E$52),$E$47:$E$51)</f>
        <v>0</v>
      </c>
      <c r="R22" s="61" cm="1">
        <f t="array" ref="R22">SUMPRODUCT(INDEX($C$4:$S$8,,COLUMN()-2+$E$52),$E$47:$E$51)+SUMPRODUCT(INDEX($C$9:$S$13,,COLUMN()-2+$E$52),$E$47:$E$51)+SUMPRODUCT(INDEX($C$14:$S$18,,COLUMN()-2+$E$52),$E$47:$E$51)</f>
        <v>0</v>
      </c>
      <c r="S22" s="62" t="e" cm="1">
        <f t="array" ref="S22">SUMPRODUCT(INDEX($C$4:$S$8,,COLUMN()-2+$E$52),$E$47:$E$51)+SUMPRODUCT(INDEX($C$9:$S$13,,COLUMN()-2+$E$52),$E$47:$E$51)+SUMPRODUCT(INDEX($C$14:$S$18,,COLUMN()-2+$E$52),$E$47:$E$51)</f>
        <v>#REF!</v>
      </c>
      <c r="T22" s="63"/>
      <c r="U22" s="64"/>
    </row>
    <row r="23" spans="1:21" ht="22.5" customHeight="1">
      <c r="A23" s="43"/>
      <c r="B23" s="364"/>
      <c r="C23" s="55" t="s">
        <v>43</v>
      </c>
      <c r="D23" s="61" cm="1">
        <f t="array" ref="D23">SUMPRODUCT(INDEX($C$4:$S$8,,COLUMN()-2+$F$52),$F$47:$F$51)+SUMPRODUCT(INDEX($C$9:$S$13,,COLUMN()-2+$F$52),$F$47:$F$51)+SUMPRODUCT(INDEX($C$14:$S$18,,COLUMN()-2+$F$52),$F$47:$F$51)</f>
        <v>6250</v>
      </c>
      <c r="E23" s="61" cm="1">
        <f t="array" ref="E23">SUMPRODUCT(INDEX($C$4:$S$8,,COLUMN()-2+$F$52),$F$47:$F$51)+SUMPRODUCT(INDEX($C$9:$S$13,,COLUMN()-2+$F$52),$F$47:$F$51)+SUMPRODUCT(INDEX($C$14:$S$18,,COLUMN()-2+$F$52),$F$47:$F$51)</f>
        <v>0</v>
      </c>
      <c r="F23" s="61" cm="1">
        <f t="array" ref="F23">SUMPRODUCT(INDEX($C$4:$S$8,,COLUMN()-2+$F$52),$F$47:$F$51)+SUMPRODUCT(INDEX($C$9:$S$13,,COLUMN()-2+$F$52),$F$47:$F$51)+SUMPRODUCT(INDEX($C$14:$S$18,,COLUMN()-2+$F$52),$F$47:$F$51)</f>
        <v>6250</v>
      </c>
      <c r="G23" s="62" cm="1">
        <f t="array" ref="G23">SUMPRODUCT(INDEX($C$4:$S$8,,COLUMN()-2+$F$52),$F$47:$F$51)+SUMPRODUCT(INDEX($C$9:$S$13,,COLUMN()-2+$F$52),$F$47:$F$51)+SUMPRODUCT(INDEX($C$14:$S$18,,COLUMN()-2+$F$52),$F$47:$F$51)</f>
        <v>0</v>
      </c>
      <c r="H23" s="61" cm="1">
        <f t="array" ref="H23">SUMPRODUCT(INDEX($C$4:$S$8,,COLUMN()-2+$F$52),$F$47:$F$51)+SUMPRODUCT(INDEX($C$9:$S$13,,COLUMN()-2+$F$52),$F$47:$F$51)+SUMPRODUCT(INDEX($C$14:$S$18,,COLUMN()-2+$F$52),$F$47:$F$51)</f>
        <v>6250</v>
      </c>
      <c r="I23" s="61" cm="1">
        <f t="array" ref="I23">SUMPRODUCT(INDEX($C$4:$S$8,,COLUMN()-2+$F$52),$F$47:$F$51)+SUMPRODUCT(INDEX($C$9:$S$13,,COLUMN()-2+$F$52),$F$47:$F$51)+SUMPRODUCT(INDEX($C$14:$S$18,,COLUMN()-2+$F$52),$F$47:$F$51)</f>
        <v>0</v>
      </c>
      <c r="J23" s="61" cm="1">
        <f t="array" ref="J23">SUMPRODUCT(INDEX($C$4:$S$8,,COLUMN()-2+$F$52),$F$47:$F$51)+SUMPRODUCT(INDEX($C$9:$S$13,,COLUMN()-2+$F$52),$F$47:$F$51)+SUMPRODUCT(INDEX($C$14:$S$18,,COLUMN()-2+$F$52),$F$47:$F$51)</f>
        <v>0</v>
      </c>
      <c r="K23" s="62" cm="1">
        <f t="array" ref="K23">SUMPRODUCT(INDEX($C$4:$S$8,,COLUMN()-2+$F$52),$F$47:$F$51)+SUMPRODUCT(INDEX($C$9:$S$13,,COLUMN()-2+$F$52),$F$47:$F$51)+SUMPRODUCT(INDEX($C$14:$S$18,,COLUMN()-2+$F$52),$F$47:$F$51)</f>
        <v>0</v>
      </c>
      <c r="L23" s="61" cm="1">
        <f t="array" ref="L23">SUMPRODUCT(INDEX($C$4:$S$8,,COLUMN()-2+$F$52),$F$47:$F$51)+SUMPRODUCT(INDEX($C$9:$S$13,,COLUMN()-2+$F$52),$F$47:$F$51)+SUMPRODUCT(INDEX($C$14:$S$18,,COLUMN()-2+$F$52),$F$47:$F$51)</f>
        <v>0</v>
      </c>
      <c r="M23" s="61" cm="1">
        <f t="array" ref="M23">SUMPRODUCT(INDEX($C$4:$S$8,,COLUMN()-2+$F$52),$F$47:$F$51)+SUMPRODUCT(INDEX($C$9:$S$13,,COLUMN()-2+$F$52),$F$47:$F$51)+SUMPRODUCT(INDEX($C$14:$S$18,,COLUMN()-2+$F$52),$F$47:$F$51)</f>
        <v>0</v>
      </c>
      <c r="N23" s="61" cm="1">
        <f t="array" ref="N23">SUMPRODUCT(INDEX($C$4:$S$8,,COLUMN()-2+$F$52),$F$47:$F$51)+SUMPRODUCT(INDEX($C$9:$S$13,,COLUMN()-2+$F$52),$F$47:$F$51)+SUMPRODUCT(INDEX($C$14:$S$18,,COLUMN()-2+$F$52),$F$47:$F$51)</f>
        <v>0</v>
      </c>
      <c r="O23" s="62" cm="1">
        <f t="array" ref="O23">SUMPRODUCT(INDEX($C$4:$S$8,,COLUMN()-2+$F$52),$F$47:$F$51)+SUMPRODUCT(INDEX($C$9:$S$13,,COLUMN()-2+$F$52),$F$47:$F$51)+SUMPRODUCT(INDEX($C$14:$S$18,,COLUMN()-2+$F$52),$F$47:$F$51)</f>
        <v>0</v>
      </c>
      <c r="P23" s="61" cm="1">
        <f t="array" ref="P23">SUMPRODUCT(INDEX($C$4:$S$8,,COLUMN()-2+$F$52),$F$47:$F$51)+SUMPRODUCT(INDEX($C$9:$S$13,,COLUMN()-2+$F$52),$F$47:$F$51)+SUMPRODUCT(INDEX($C$14:$S$18,,COLUMN()-2+$F$52),$F$47:$F$51)</f>
        <v>0</v>
      </c>
      <c r="Q23" s="61" cm="1">
        <f t="array" ref="Q23">SUMPRODUCT(INDEX($C$4:$S$8,,COLUMN()-2+$F$52),$F$47:$F$51)+SUMPRODUCT(INDEX($C$9:$S$13,,COLUMN()-2+$F$52),$F$47:$F$51)+SUMPRODUCT(INDEX($C$14:$S$18,,COLUMN()-2+$F$52),$F$47:$F$51)</f>
        <v>0</v>
      </c>
      <c r="R23" s="61" t="e" cm="1">
        <f t="array" ref="R23">SUMPRODUCT(INDEX($C$4:$S$8,,COLUMN()-2+$F$52),$F$47:$F$51)+SUMPRODUCT(INDEX($C$9:$S$13,,COLUMN()-2+$F$52),$F$47:$F$51)+SUMPRODUCT(INDEX($C$14:$S$18,,COLUMN()-2+$F$52),$F$47:$F$51)</f>
        <v>#REF!</v>
      </c>
      <c r="S23" s="62" t="e" cm="1">
        <f t="array" ref="S23">SUMPRODUCT(INDEX($C$4:$S$8,,COLUMN()-2+$F$52),$F$47:$F$51)+SUMPRODUCT(INDEX($C$9:$S$13,,COLUMN()-2+$F$52),$F$47:$F$51)+SUMPRODUCT(INDEX($C$14:$S$18,,COLUMN()-2+$F$52),$F$47:$F$51)</f>
        <v>#REF!</v>
      </c>
    </row>
    <row r="24" spans="1:21" ht="22.5" customHeight="1">
      <c r="A24" s="43"/>
      <c r="B24" s="364"/>
      <c r="C24" s="55" t="s">
        <v>44</v>
      </c>
      <c r="D24" s="65" cm="1">
        <f t="array" ref="D24">SUMPRODUCT(INDEX($C$4:$S$8,,COLUMN()-2+$G$52),$G$47:$G$51)+SUMPRODUCT(INDEX($C$9:$S$13,,COLUMN()-2+$G$52),$G$47:$G$51)+SUMPRODUCT(INDEX($C$14:$S$18,,COLUMN()-2+$G$52),$G$47:$G$51)</f>
        <v>0</v>
      </c>
      <c r="E24" s="65" cm="1">
        <f t="array" ref="E24">SUMPRODUCT(INDEX($C$4:$S$8,,COLUMN()-2+$G$52),$G$47:$G$51)+SUMPRODUCT(INDEX($C$9:$S$13,,COLUMN()-2+$G$52),$G$47:$G$51)+SUMPRODUCT(INDEX($C$14:$S$18,,COLUMN()-2+$G$52),$G$47:$G$51)</f>
        <v>0</v>
      </c>
      <c r="F24" s="65" cm="1">
        <f t="array" ref="F24">SUMPRODUCT(INDEX($C$4:$S$8,,COLUMN()-2+$G$52),$G$47:$G$51)+SUMPRODUCT(INDEX($C$9:$S$13,,COLUMN()-2+$G$52),$G$47:$G$51)+SUMPRODUCT(INDEX($C$14:$S$18,,COLUMN()-2+$G$52),$G$47:$G$51)</f>
        <v>0</v>
      </c>
      <c r="G24" s="65" cm="1">
        <f t="array" ref="G24">SUMPRODUCT(INDEX($C$4:$S$8,,COLUMN()-2+$G$52),$G$47:$G$51)+SUMPRODUCT(INDEX($C$9:$S$13,,COLUMN()-2+$G$52),$G$47:$G$51)+SUMPRODUCT(INDEX($C$14:$S$18,,COLUMN()-2+$G$52),$G$47:$G$51)</f>
        <v>0</v>
      </c>
      <c r="H24" s="65" cm="1">
        <f t="array" ref="H24">SUMPRODUCT(INDEX($C$4:$S$8,,COLUMN()-2+$G$52),$G$47:$G$51)+SUMPRODUCT(INDEX($C$9:$S$13,,COLUMN()-2+$G$52),$G$47:$G$51)+SUMPRODUCT(INDEX($C$14:$S$18,,COLUMN()-2+$G$52),$G$47:$G$51)</f>
        <v>0</v>
      </c>
      <c r="I24" s="65" cm="1">
        <f t="array" ref="I24">SUMPRODUCT(INDEX($C$4:$S$8,,COLUMN()-2+$G$52),$G$47:$G$51)+SUMPRODUCT(INDEX($C$9:$S$13,,COLUMN()-2+$G$52),$G$47:$G$51)+SUMPRODUCT(INDEX($C$14:$S$18,,COLUMN()-2+$G$52),$G$47:$G$51)</f>
        <v>0</v>
      </c>
      <c r="J24" s="65" cm="1">
        <f t="array" ref="J24">SUMPRODUCT(INDEX($C$4:$S$8,,COLUMN()-2+$G$52),$G$47:$G$51)+SUMPRODUCT(INDEX($C$9:$S$13,,COLUMN()-2+$G$52),$G$47:$G$51)+SUMPRODUCT(INDEX($C$14:$S$18,,COLUMN()-2+$G$52),$G$47:$G$51)</f>
        <v>0</v>
      </c>
      <c r="K24" s="65" cm="1">
        <f t="array" ref="K24">SUMPRODUCT(INDEX($C$4:$S$8,,COLUMN()-2+$G$52),$G$47:$G$51)+SUMPRODUCT(INDEX($C$9:$S$13,,COLUMN()-2+$G$52),$G$47:$G$51)+SUMPRODUCT(INDEX($C$14:$S$18,,COLUMN()-2+$G$52),$G$47:$G$51)</f>
        <v>0</v>
      </c>
      <c r="L24" s="65" cm="1">
        <f t="array" ref="L24">SUMPRODUCT(INDEX($C$4:$S$8,,COLUMN()-2+$G$52),$G$47:$G$51)+SUMPRODUCT(INDEX($C$9:$S$13,,COLUMN()-2+$G$52),$G$47:$G$51)+SUMPRODUCT(INDEX($C$14:$S$18,,COLUMN()-2+$G$52),$G$47:$G$51)</f>
        <v>0</v>
      </c>
      <c r="M24" s="65" cm="1">
        <f t="array" ref="M24">SUMPRODUCT(INDEX($C$4:$S$8,,COLUMN()-2+$G$52),$G$47:$G$51)+SUMPRODUCT(INDEX($C$9:$S$13,,COLUMN()-2+$G$52),$G$47:$G$51)+SUMPRODUCT(INDEX($C$14:$S$18,,COLUMN()-2+$G$52),$G$47:$G$51)</f>
        <v>0</v>
      </c>
      <c r="N24" s="65" cm="1">
        <f t="array" ref="N24">SUMPRODUCT(INDEX($C$4:$S$8,,COLUMN()-2+$G$52),$G$47:$G$51)+SUMPRODUCT(INDEX($C$9:$S$13,,COLUMN()-2+$G$52),$G$47:$G$51)+SUMPRODUCT(INDEX($C$14:$S$18,,COLUMN()-2+$G$52),$G$47:$G$51)</f>
        <v>0</v>
      </c>
      <c r="O24" s="65" cm="1">
        <f t="array" ref="O24">SUMPRODUCT(INDEX($C$4:$S$8,,COLUMN()-2+$G$52),$G$47:$G$51)+SUMPRODUCT(INDEX($C$9:$S$13,,COLUMN()-2+$G$52),$G$47:$G$51)+SUMPRODUCT(INDEX($C$14:$S$18,,COLUMN()-2+$G$52),$G$47:$G$51)</f>
        <v>0</v>
      </c>
      <c r="P24" s="65" cm="1">
        <f t="array" ref="P24">SUMPRODUCT(INDEX($C$4:$S$8,,COLUMN()-2+$G$52),$G$47:$G$51)+SUMPRODUCT(INDEX($C$9:$S$13,,COLUMN()-2+$G$52),$G$47:$G$51)+SUMPRODUCT(INDEX($C$14:$S$18,,COLUMN()-2+$G$52),$G$47:$G$51)</f>
        <v>0</v>
      </c>
      <c r="Q24" s="65" cm="1">
        <f t="array" ref="Q24">SUMPRODUCT(INDEX($C$4:$S$8,,COLUMN()-2+$G$52),$G$47:$G$51)+SUMPRODUCT(INDEX($C$9:$S$13,,COLUMN()-2+$G$52),$G$47:$G$51)+SUMPRODUCT(INDEX($C$14:$S$18,,COLUMN()-2+$G$52),$G$47:$G$51)</f>
        <v>0</v>
      </c>
      <c r="R24" s="65" cm="1">
        <f t="array" ref="R24">SUMPRODUCT(INDEX($C$4:$S$8,,COLUMN()-2+$G$52),$G$47:$G$51)+SUMPRODUCT(INDEX($C$9:$S$13,,COLUMN()-2+$G$52),$G$47:$G$51)+SUMPRODUCT(INDEX($C$14:$S$18,,COLUMN()-2+$G$52),$G$47:$G$51)</f>
        <v>0</v>
      </c>
      <c r="S24" s="65" t="e" cm="1">
        <f t="array" ref="S24">SUMPRODUCT(INDEX($C$4:$S$8,,COLUMN()-2+$G$52),$G$47:$G$51)+SUMPRODUCT(INDEX($C$9:$S$13,,COLUMN()-2+$G$52),$G$47:$G$51)+SUMPRODUCT(INDEX($C$14:$S$18,,COLUMN()-2+$G$52),$G$47:$G$51)</f>
        <v>#REF!</v>
      </c>
    </row>
    <row r="25" spans="1:21" ht="22.5" customHeight="1">
      <c r="A25" s="43"/>
      <c r="B25" s="43"/>
      <c r="C25" s="55" t="s">
        <v>212</v>
      </c>
      <c r="D25" s="61"/>
      <c r="E25" s="61" cm="1">
        <f t="array" ref="E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0</v>
      </c>
      <c r="F25" s="61" cm="1">
        <f t="array" ref="F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2875000</v>
      </c>
      <c r="G25" s="61" cm="1">
        <f t="array" ref="G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0</v>
      </c>
      <c r="H25" s="61" cm="1">
        <f t="array" ref="H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2875000</v>
      </c>
      <c r="I25" s="61" cm="1">
        <f t="array" ref="I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0</v>
      </c>
      <c r="J25" s="61" cm="1">
        <f t="array" ref="J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2875000</v>
      </c>
      <c r="K25" s="61" cm="1">
        <f t="array" ref="K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0</v>
      </c>
      <c r="L25" s="61" cm="1">
        <f t="array" ref="L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0</v>
      </c>
      <c r="M25" s="61" cm="1">
        <f t="array" ref="M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0</v>
      </c>
      <c r="N25" s="61" cm="1">
        <f t="array" ref="N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0</v>
      </c>
      <c r="O25" s="61" cm="1">
        <f t="array" ref="O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0</v>
      </c>
      <c r="P25" s="61" cm="1">
        <f t="array" ref="P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0</v>
      </c>
      <c r="Q25" s="61" cm="1">
        <f t="array" ref="Q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0</v>
      </c>
      <c r="R25" s="61" cm="1">
        <f t="array" ref="R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0</v>
      </c>
      <c r="S25" s="61" cm="1">
        <f t="array" ref="S25">SUMPRODUCT(INDEX($C$4:$S$8,,COLUMN()-2-$C$53),$C$47:$C$51)*$C$54+SUMPRODUCT(INDEX($C$4:$S$8,,COLUMN()-2-$D$53),$D$47:$D$51)*$D$54+SUMPRODUCT(INDEX($C$4:$S$8,,COLUMN()-2-$E$53),$E$47:$E$51)*$E$54+SUMPRODUCT(INDEX($C$4:$S$8,,COLUMN()-2-$F$53),$F$47:$F$51)*$F$54+SUMPRODUCT(INDEX($C$4:$S$8,,COLUMN()-2-$G$53),$G$47:$G$51)*$G$54+SUMPRODUCT(INDEX($C$9:$S$13,,COLUMN()-2-$C$53),$C$47:$C$51)*$C$54+SUMPRODUCT(INDEX($C$9:$S$13,,COLUMN()-2-$D$53),$D$47:$D$51)*$D$54+SUMPRODUCT(INDEX($C$9:$S$13,,COLUMN()-2-$E$53),$E$47:$E$51)*$E$54+SUMPRODUCT(INDEX($C$9:$S$13,,COLUMN()-2-$F$53),$F$47:$F$51)*$F$54+SUMPRODUCT(INDEX($C$9:$S$13,,COLUMN()-2-$G$53),$G$47:$G$51)*$G$54+SUMPRODUCT(INDEX($C$14:$S$18,,COLUMN()-2-$C$53),$C$47:$C$51)*$C$54+SUMPRODUCT(INDEX($C$14:$S$18,,COLUMN()-2-$D$53),$D$47:$D$51)*$D$54+SUMPRODUCT(INDEX($C$14:$S$18,,COLUMN()-2-$E$53),$E$47:$E$51)*$E$54+SUMPRODUCT(INDEX($C$14:$S$18,,COLUMN()-2-$F$53),$F$47:$F$51)*$F$54+SUMPRODUCT(INDEX($C$14:$S$18,,COLUMN()-2-$G$53),$G$47:$G$51)*$G$54</f>
        <v>0</v>
      </c>
    </row>
    <row r="26" spans="1:21" ht="22.5" customHeight="1">
      <c r="A26" s="43"/>
      <c r="B26" s="43"/>
      <c r="C26" s="55" t="s">
        <v>213</v>
      </c>
      <c r="D26" s="61"/>
      <c r="E26" s="61">
        <f>SUM(E4:E8)*($J$42*$M$47+$K$42*$M$48)+SUM(E9:E13)*($J$43*$M$47+$K$43*$M$48)+SUM(E14:E18)*($J$44*$M$47+$K$44*$M$48)</f>
        <v>0</v>
      </c>
      <c r="F26" s="61">
        <f t="shared" ref="F26:S26" si="0">SUM(F4:F8)*($J$42*$M$47+$K$42*$M$48)+SUM(F9:F13)*($J$43*$M$47+$K$43*$M$48)+SUM(F14:F18)*($J$44*$M$47+$K$44*$M$48)</f>
        <v>125000</v>
      </c>
      <c r="G26" s="61">
        <f t="shared" si="0"/>
        <v>0</v>
      </c>
      <c r="H26" s="61">
        <f t="shared" si="0"/>
        <v>125000</v>
      </c>
      <c r="I26" s="61">
        <f t="shared" si="0"/>
        <v>0</v>
      </c>
      <c r="J26" s="61">
        <f t="shared" si="0"/>
        <v>125000</v>
      </c>
      <c r="K26" s="61">
        <f t="shared" si="0"/>
        <v>0</v>
      </c>
      <c r="L26" s="61">
        <f t="shared" si="0"/>
        <v>0</v>
      </c>
      <c r="M26" s="61">
        <f t="shared" si="0"/>
        <v>0</v>
      </c>
      <c r="N26" s="61">
        <f t="shared" si="0"/>
        <v>0</v>
      </c>
      <c r="O26" s="61">
        <f t="shared" si="0"/>
        <v>0</v>
      </c>
      <c r="P26" s="61">
        <f t="shared" si="0"/>
        <v>0</v>
      </c>
      <c r="Q26" s="61">
        <f t="shared" si="0"/>
        <v>0</v>
      </c>
      <c r="R26" s="61">
        <f t="shared" si="0"/>
        <v>0</v>
      </c>
      <c r="S26" s="61">
        <f t="shared" si="0"/>
        <v>0</v>
      </c>
    </row>
    <row r="27" spans="1:21">
      <c r="H27" s="34"/>
      <c r="I27" s="34"/>
      <c r="J27" s="34"/>
    </row>
    <row r="28" spans="1:21" ht="12" customHeight="1">
      <c r="B28" s="364" t="s">
        <v>214</v>
      </c>
      <c r="C28" s="55" t="s">
        <v>188</v>
      </c>
      <c r="D28" s="60">
        <f>D4+D9+D14</f>
        <v>0</v>
      </c>
      <c r="E28" s="60">
        <f>E4+E9+E14</f>
        <v>0</v>
      </c>
      <c r="F28" s="60">
        <f t="shared" ref="F28:S28" si="1">F4+F9+F14</f>
        <v>0</v>
      </c>
      <c r="G28" s="60">
        <f t="shared" si="1"/>
        <v>0</v>
      </c>
      <c r="H28" s="60">
        <f t="shared" si="1"/>
        <v>0</v>
      </c>
      <c r="I28" s="60">
        <f t="shared" si="1"/>
        <v>0</v>
      </c>
      <c r="J28" s="60">
        <f t="shared" si="1"/>
        <v>0</v>
      </c>
      <c r="K28" s="60">
        <f t="shared" si="1"/>
        <v>0</v>
      </c>
      <c r="L28" s="60">
        <f t="shared" si="1"/>
        <v>0</v>
      </c>
      <c r="M28" s="60">
        <f t="shared" si="1"/>
        <v>0</v>
      </c>
      <c r="N28" s="60">
        <f t="shared" si="1"/>
        <v>0</v>
      </c>
      <c r="O28" s="60">
        <f t="shared" si="1"/>
        <v>0</v>
      </c>
      <c r="P28" s="60">
        <f t="shared" si="1"/>
        <v>0</v>
      </c>
      <c r="Q28" s="60">
        <f t="shared" si="1"/>
        <v>0</v>
      </c>
      <c r="R28" s="60">
        <f t="shared" si="1"/>
        <v>0</v>
      </c>
      <c r="S28" s="60">
        <f t="shared" si="1"/>
        <v>0</v>
      </c>
    </row>
    <row r="29" spans="1:21" ht="16.5">
      <c r="B29" s="364"/>
      <c r="C29" s="55" t="s">
        <v>189</v>
      </c>
      <c r="D29" s="61">
        <f>D5+D10+D15</f>
        <v>0</v>
      </c>
      <c r="E29" s="61">
        <f t="shared" ref="E29:S29" si="2">E5+E10+E15</f>
        <v>0</v>
      </c>
      <c r="F29" s="61">
        <f t="shared" si="2"/>
        <v>0</v>
      </c>
      <c r="G29" s="62">
        <f t="shared" si="2"/>
        <v>0</v>
      </c>
      <c r="H29" s="61">
        <f t="shared" si="2"/>
        <v>0</v>
      </c>
      <c r="I29" s="61">
        <f t="shared" si="2"/>
        <v>0</v>
      </c>
      <c r="J29" s="61">
        <f t="shared" si="2"/>
        <v>0</v>
      </c>
      <c r="K29" s="62">
        <f t="shared" si="2"/>
        <v>0</v>
      </c>
      <c r="L29" s="61">
        <f t="shared" si="2"/>
        <v>0</v>
      </c>
      <c r="M29" s="61">
        <f t="shared" si="2"/>
        <v>0</v>
      </c>
      <c r="N29" s="61">
        <f t="shared" si="2"/>
        <v>0</v>
      </c>
      <c r="O29" s="62">
        <f t="shared" si="2"/>
        <v>0</v>
      </c>
      <c r="P29" s="61">
        <f t="shared" si="2"/>
        <v>0</v>
      </c>
      <c r="Q29" s="61">
        <f t="shared" si="2"/>
        <v>0</v>
      </c>
      <c r="R29" s="61">
        <f t="shared" si="2"/>
        <v>0</v>
      </c>
      <c r="S29" s="62">
        <f t="shared" si="2"/>
        <v>0</v>
      </c>
    </row>
    <row r="30" spans="1:21" ht="16.5">
      <c r="B30" s="364"/>
      <c r="C30" s="55" t="s">
        <v>190</v>
      </c>
      <c r="D30" s="61">
        <f>D6+D11+D16</f>
        <v>0</v>
      </c>
      <c r="E30" s="61">
        <f t="shared" ref="E30:S30" si="3">E6+E11+E16</f>
        <v>0</v>
      </c>
      <c r="F30" s="61">
        <f t="shared" si="3"/>
        <v>0</v>
      </c>
      <c r="G30" s="62">
        <f t="shared" si="3"/>
        <v>0</v>
      </c>
      <c r="H30" s="61">
        <f t="shared" si="3"/>
        <v>0</v>
      </c>
      <c r="I30" s="61">
        <f t="shared" si="3"/>
        <v>0</v>
      </c>
      <c r="J30" s="61">
        <f t="shared" si="3"/>
        <v>0</v>
      </c>
      <c r="K30" s="62">
        <f t="shared" si="3"/>
        <v>0</v>
      </c>
      <c r="L30" s="61">
        <f t="shared" si="3"/>
        <v>0</v>
      </c>
      <c r="M30" s="61">
        <f t="shared" si="3"/>
        <v>0</v>
      </c>
      <c r="N30" s="61">
        <f t="shared" si="3"/>
        <v>0</v>
      </c>
      <c r="O30" s="62">
        <f t="shared" si="3"/>
        <v>0</v>
      </c>
      <c r="P30" s="61">
        <f t="shared" si="3"/>
        <v>0</v>
      </c>
      <c r="Q30" s="61">
        <f t="shared" si="3"/>
        <v>0</v>
      </c>
      <c r="R30" s="61">
        <f t="shared" si="3"/>
        <v>0</v>
      </c>
      <c r="S30" s="62">
        <f t="shared" si="3"/>
        <v>0</v>
      </c>
    </row>
    <row r="31" spans="1:21" ht="16.5">
      <c r="B31" s="364"/>
      <c r="C31" s="55" t="s">
        <v>191</v>
      </c>
      <c r="D31" s="61">
        <f>D7+D12+D17</f>
        <v>1250</v>
      </c>
      <c r="E31" s="61">
        <f t="shared" ref="E31:S31" si="4">E7+E12+E17</f>
        <v>0</v>
      </c>
      <c r="F31" s="61">
        <f t="shared" si="4"/>
        <v>1250</v>
      </c>
      <c r="G31" s="62">
        <f t="shared" si="4"/>
        <v>0</v>
      </c>
      <c r="H31" s="61">
        <f t="shared" si="4"/>
        <v>1250</v>
      </c>
      <c r="I31" s="61">
        <f t="shared" si="4"/>
        <v>0</v>
      </c>
      <c r="J31" s="61">
        <f t="shared" si="4"/>
        <v>1250</v>
      </c>
      <c r="K31" s="62">
        <f t="shared" si="4"/>
        <v>0</v>
      </c>
      <c r="L31" s="61">
        <f t="shared" si="4"/>
        <v>0</v>
      </c>
      <c r="M31" s="61">
        <f t="shared" si="4"/>
        <v>0</v>
      </c>
      <c r="N31" s="61">
        <f t="shared" si="4"/>
        <v>0</v>
      </c>
      <c r="O31" s="62">
        <f t="shared" si="4"/>
        <v>0</v>
      </c>
      <c r="P31" s="61">
        <f t="shared" si="4"/>
        <v>0</v>
      </c>
      <c r="Q31" s="61">
        <f t="shared" si="4"/>
        <v>0</v>
      </c>
      <c r="R31" s="61">
        <f t="shared" si="4"/>
        <v>0</v>
      </c>
      <c r="S31" s="62">
        <f t="shared" si="4"/>
        <v>0</v>
      </c>
    </row>
    <row r="32" spans="1:21" ht="16.5">
      <c r="B32" s="364"/>
      <c r="C32" s="55" t="s">
        <v>192</v>
      </c>
      <c r="D32" s="65">
        <f>D8+D13+D18</f>
        <v>0</v>
      </c>
      <c r="E32" s="65">
        <f t="shared" ref="E32:S32" si="5">E8+E13+E18</f>
        <v>0</v>
      </c>
      <c r="F32" s="65">
        <f t="shared" si="5"/>
        <v>0</v>
      </c>
      <c r="G32" s="65">
        <f t="shared" si="5"/>
        <v>0</v>
      </c>
      <c r="H32" s="65">
        <f t="shared" si="5"/>
        <v>0</v>
      </c>
      <c r="I32" s="65">
        <f t="shared" si="5"/>
        <v>0</v>
      </c>
      <c r="J32" s="65">
        <f t="shared" si="5"/>
        <v>0</v>
      </c>
      <c r="K32" s="65">
        <f t="shared" si="5"/>
        <v>0</v>
      </c>
      <c r="L32" s="65">
        <f t="shared" si="5"/>
        <v>0</v>
      </c>
      <c r="M32" s="65">
        <f t="shared" si="5"/>
        <v>0</v>
      </c>
      <c r="N32" s="65">
        <f t="shared" si="5"/>
        <v>0</v>
      </c>
      <c r="O32" s="65">
        <f t="shared" si="5"/>
        <v>0</v>
      </c>
      <c r="P32" s="65">
        <f t="shared" si="5"/>
        <v>0</v>
      </c>
      <c r="Q32" s="65">
        <f t="shared" si="5"/>
        <v>0</v>
      </c>
      <c r="R32" s="65">
        <f t="shared" si="5"/>
        <v>0</v>
      </c>
      <c r="S32" s="65">
        <f t="shared" si="5"/>
        <v>0</v>
      </c>
    </row>
    <row r="34" spans="1:19" ht="16.5">
      <c r="B34" s="364" t="s">
        <v>215</v>
      </c>
      <c r="C34" s="55" t="s">
        <v>188</v>
      </c>
      <c r="D34" s="60">
        <f ca="1">N(OFFSET(D4,0,-规则表!$D$17))+N(OFFSET(D9,0,-规则表!$D$18))+N(OFFSET(D14,0,-规则表!$D$19))</f>
        <v>0</v>
      </c>
      <c r="E34" s="60">
        <f ca="1">N(OFFSET(E4,0,-规则表!$D$17))+N(OFFSET(E9,0,-规则表!$D$18))+N(OFFSET(E14,0,-规则表!$D$19))</f>
        <v>0</v>
      </c>
      <c r="F34" s="60">
        <f ca="1">N(OFFSET(F4,0,-规则表!$D$17))+N(OFFSET(F9,0,-规则表!$D$18))+N(OFFSET(F14,0,-规则表!$D$19))</f>
        <v>0</v>
      </c>
      <c r="G34" s="60">
        <f ca="1">N(OFFSET(G4,0,-规则表!$D$17))+N(OFFSET(G9,0,-规则表!$D$18))+N(OFFSET(G14,0,-规则表!$D$19))</f>
        <v>0</v>
      </c>
      <c r="H34" s="60">
        <f ca="1">N(OFFSET(H4,0,-规则表!$D$17))+N(OFFSET(H9,0,-规则表!$D$18))+N(OFFSET(H14,0,-规则表!$D$19))</f>
        <v>0</v>
      </c>
      <c r="I34" s="60">
        <f ca="1">N(OFFSET(I4,0,-规则表!$D$17))+N(OFFSET(I9,0,-规则表!$D$18))+N(OFFSET(I14,0,-规则表!$D$19))</f>
        <v>0</v>
      </c>
      <c r="J34" s="60">
        <f ca="1">N(OFFSET(J4,0,-规则表!$D$17))+N(OFFSET(J9,0,-规则表!$D$18))+N(OFFSET(J14,0,-规则表!$D$19))</f>
        <v>0</v>
      </c>
      <c r="K34" s="60">
        <f ca="1">N(OFFSET(K4,0,-规则表!$D$17))+N(OFFSET(K9,0,-规则表!$D$18))+N(OFFSET(K14,0,-规则表!$D$19))</f>
        <v>0</v>
      </c>
      <c r="L34" s="60">
        <f ca="1">N(OFFSET(L4,0,-规则表!$D$17))+N(OFFSET(L9,0,-规则表!$D$18))+N(OFFSET(L14,0,-规则表!$D$19))</f>
        <v>0</v>
      </c>
      <c r="M34" s="60">
        <f ca="1">N(OFFSET(M4,0,-规则表!$D$17))+N(OFFSET(M9,0,-规则表!$D$18))+N(OFFSET(M14,0,-规则表!$D$19))</f>
        <v>0</v>
      </c>
      <c r="N34" s="60">
        <f ca="1">N(OFFSET(N4,0,-规则表!$D$17))+N(OFFSET(N9,0,-规则表!$D$18))+N(OFFSET(N14,0,-规则表!$D$19))</f>
        <v>0</v>
      </c>
      <c r="O34" s="60">
        <f ca="1">N(OFFSET(O4,0,-规则表!$D$17))+N(OFFSET(O9,0,-规则表!$D$18))+N(OFFSET(O14,0,-规则表!$D$19))</f>
        <v>0</v>
      </c>
      <c r="P34" s="60">
        <f ca="1">N(OFFSET(P4,0,-规则表!$D$17))+N(OFFSET(P9,0,-规则表!$D$18))+N(OFFSET(P14,0,-规则表!$D$19))</f>
        <v>0</v>
      </c>
      <c r="Q34" s="60">
        <f ca="1">N(OFFSET(Q4,0,-规则表!$D$17))+N(OFFSET(Q9,0,-规则表!$D$18))+N(OFFSET(Q14,0,-规则表!$D$19))</f>
        <v>0</v>
      </c>
      <c r="R34" s="60">
        <f ca="1">N(OFFSET(R4,0,-规则表!$D$17))+N(OFFSET(R9,0,-规则表!$D$18))+N(OFFSET(R14,0,-规则表!$D$19))</f>
        <v>0</v>
      </c>
      <c r="S34" s="60">
        <f ca="1">N(OFFSET(S4,0,-规则表!$D$17))+N(OFFSET(S9,0,-规则表!$D$18))+N(OFFSET(S14,0,-规则表!$D$19))</f>
        <v>0</v>
      </c>
    </row>
    <row r="35" spans="1:19" ht="16.5">
      <c r="B35" s="364"/>
      <c r="C35" s="55" t="s">
        <v>189</v>
      </c>
      <c r="D35" s="61">
        <f ca="1">N(OFFSET(D5,0,-规则表!$D$17))+N(OFFSET(D10,0,-规则表!$D$18))+N(OFFSET(D15,0,-规则表!$D$19))</f>
        <v>0</v>
      </c>
      <c r="E35" s="61">
        <f ca="1">N(OFFSET(E5,0,-规则表!$D$17))+N(OFFSET(E10,0,-规则表!$D$18))+N(OFFSET(E15,0,-规则表!$D$19))</f>
        <v>0</v>
      </c>
      <c r="F35" s="61">
        <f ca="1">N(OFFSET(F5,0,-规则表!$D$17))+N(OFFSET(F10,0,-规则表!$D$18))+N(OFFSET(F15,0,-规则表!$D$19))</f>
        <v>0</v>
      </c>
      <c r="G35" s="62">
        <f ca="1">N(OFFSET(G5,0,-规则表!$D$17))+N(OFFSET(G10,0,-规则表!$D$18))+N(OFFSET(G15,0,-规则表!$D$19))</f>
        <v>0</v>
      </c>
      <c r="H35" s="61">
        <f ca="1">N(OFFSET(H5,0,-规则表!$D$17))+N(OFFSET(H10,0,-规则表!$D$18))+N(OFFSET(H15,0,-规则表!$D$19))</f>
        <v>0</v>
      </c>
      <c r="I35" s="61">
        <f ca="1">N(OFFSET(I5,0,-规则表!$D$17))+N(OFFSET(I10,0,-规则表!$D$18))+N(OFFSET(I15,0,-规则表!$D$19))</f>
        <v>0</v>
      </c>
      <c r="J35" s="61">
        <f ca="1">N(OFFSET(J5,0,-规则表!$D$17))+N(OFFSET(J10,0,-规则表!$D$18))+N(OFFSET(J15,0,-规则表!$D$19))</f>
        <v>0</v>
      </c>
      <c r="K35" s="62">
        <f ca="1">N(OFFSET(K5,0,-规则表!$D$17))+N(OFFSET(K10,0,-规则表!$D$18))+N(OFFSET(K15,0,-规则表!$D$19))</f>
        <v>0</v>
      </c>
      <c r="L35" s="61">
        <f ca="1">N(OFFSET(L5,0,-规则表!$D$17))+N(OFFSET(L10,0,-规则表!$D$18))+N(OFFSET(L15,0,-规则表!$D$19))</f>
        <v>0</v>
      </c>
      <c r="M35" s="61">
        <f ca="1">N(OFFSET(M5,0,-规则表!$D$17))+N(OFFSET(M10,0,-规则表!$D$18))+N(OFFSET(M15,0,-规则表!$D$19))</f>
        <v>0</v>
      </c>
      <c r="N35" s="61">
        <f ca="1">N(OFFSET(N5,0,-规则表!$D$17))+N(OFFSET(N10,0,-规则表!$D$18))+N(OFFSET(N15,0,-规则表!$D$19))</f>
        <v>0</v>
      </c>
      <c r="O35" s="62">
        <f ca="1">N(OFFSET(O5,0,-规则表!$D$17))+N(OFFSET(O10,0,-规则表!$D$18))+N(OFFSET(O15,0,-规则表!$D$19))</f>
        <v>0</v>
      </c>
      <c r="P35" s="61">
        <f ca="1">N(OFFSET(P5,0,-规则表!$D$17))+N(OFFSET(P10,0,-规则表!$D$18))+N(OFFSET(P15,0,-规则表!$D$19))</f>
        <v>0</v>
      </c>
      <c r="Q35" s="61">
        <f ca="1">N(OFFSET(Q5,0,-规则表!$D$17))+N(OFFSET(Q10,0,-规则表!$D$18))+N(OFFSET(Q15,0,-规则表!$D$19))</f>
        <v>0</v>
      </c>
      <c r="R35" s="61">
        <f ca="1">N(OFFSET(R5,0,-规则表!$D$17))+N(OFFSET(R10,0,-规则表!$D$18))+N(OFFSET(R15,0,-规则表!$D$19))</f>
        <v>0</v>
      </c>
      <c r="S35" s="62">
        <f ca="1">N(OFFSET(S5,0,-规则表!$D$17))+N(OFFSET(S10,0,-规则表!$D$18))+N(OFFSET(S15,0,-规则表!$D$19))</f>
        <v>0</v>
      </c>
    </row>
    <row r="36" spans="1:19" ht="16.5">
      <c r="B36" s="364"/>
      <c r="C36" s="55" t="s">
        <v>190</v>
      </c>
      <c r="D36" s="61">
        <f ca="1">N(OFFSET(D6,0,-规则表!$D$17))+N(OFFSET(D11,0,-规则表!$D$18))+N(OFFSET(D16,0,-规则表!$D$19))</f>
        <v>0</v>
      </c>
      <c r="E36" s="61">
        <f ca="1">N(OFFSET(E6,0,-规则表!$D$17))+N(OFFSET(E11,0,-规则表!$D$18))+N(OFFSET(E16,0,-规则表!$D$19))</f>
        <v>0</v>
      </c>
      <c r="F36" s="61">
        <f ca="1">N(OFFSET(F6,0,-规则表!$D$17))+N(OFFSET(F11,0,-规则表!$D$18))+N(OFFSET(F16,0,-规则表!$D$19))</f>
        <v>0</v>
      </c>
      <c r="G36" s="62">
        <f ca="1">N(OFFSET(G6,0,-规则表!$D$17))+N(OFFSET(G11,0,-规则表!$D$18))+N(OFFSET(G16,0,-规则表!$D$19))</f>
        <v>0</v>
      </c>
      <c r="H36" s="61">
        <f ca="1">N(OFFSET(H6,0,-规则表!$D$17))+N(OFFSET(H11,0,-规则表!$D$18))+N(OFFSET(H16,0,-规则表!$D$19))</f>
        <v>0</v>
      </c>
      <c r="I36" s="61">
        <f ca="1">N(OFFSET(I6,0,-规则表!$D$17))+N(OFFSET(I11,0,-规则表!$D$18))+N(OFFSET(I16,0,-规则表!$D$19))</f>
        <v>0</v>
      </c>
      <c r="J36" s="61">
        <f ca="1">N(OFFSET(J6,0,-规则表!$D$17))+N(OFFSET(J11,0,-规则表!$D$18))+N(OFFSET(J16,0,-规则表!$D$19))</f>
        <v>0</v>
      </c>
      <c r="K36" s="62">
        <f ca="1">N(OFFSET(K6,0,-规则表!$D$17))+N(OFFSET(K11,0,-规则表!$D$18))+N(OFFSET(K16,0,-规则表!$D$19))</f>
        <v>0</v>
      </c>
      <c r="L36" s="61">
        <f ca="1">N(OFFSET(L6,0,-规则表!$D$17))+N(OFFSET(L11,0,-规则表!$D$18))+N(OFFSET(L16,0,-规则表!$D$19))</f>
        <v>0</v>
      </c>
      <c r="M36" s="61">
        <f ca="1">N(OFFSET(M6,0,-规则表!$D$17))+N(OFFSET(M11,0,-规则表!$D$18))+N(OFFSET(M16,0,-规则表!$D$19))</f>
        <v>0</v>
      </c>
      <c r="N36" s="61">
        <f ca="1">N(OFFSET(N6,0,-规则表!$D$17))+N(OFFSET(N11,0,-规则表!$D$18))+N(OFFSET(N16,0,-规则表!$D$19))</f>
        <v>0</v>
      </c>
      <c r="O36" s="62">
        <f ca="1">N(OFFSET(O6,0,-规则表!$D$17))+N(OFFSET(O11,0,-规则表!$D$18))+N(OFFSET(O16,0,-规则表!$D$19))</f>
        <v>0</v>
      </c>
      <c r="P36" s="61">
        <f ca="1">N(OFFSET(P6,0,-规则表!$D$17))+N(OFFSET(P11,0,-规则表!$D$18))+N(OFFSET(P16,0,-规则表!$D$19))</f>
        <v>0</v>
      </c>
      <c r="Q36" s="61">
        <f ca="1">N(OFFSET(Q6,0,-规则表!$D$17))+N(OFFSET(Q11,0,-规则表!$D$18))+N(OFFSET(Q16,0,-规则表!$D$19))</f>
        <v>0</v>
      </c>
      <c r="R36" s="61">
        <f ca="1">N(OFFSET(R6,0,-规则表!$D$17))+N(OFFSET(R11,0,-规则表!$D$18))+N(OFFSET(R16,0,-规则表!$D$19))</f>
        <v>0</v>
      </c>
      <c r="S36" s="62">
        <f ca="1">N(OFFSET(S6,0,-规则表!$D$17))+N(OFFSET(S11,0,-规则表!$D$18))+N(OFFSET(S16,0,-规则表!$D$19))</f>
        <v>0</v>
      </c>
    </row>
    <row r="37" spans="1:19" ht="16.5">
      <c r="B37" s="364"/>
      <c r="C37" s="55" t="s">
        <v>191</v>
      </c>
      <c r="D37" s="61">
        <f ca="1">N(OFFSET(D7,0,-规则表!$D$17))+N(OFFSET(D12,0,-规则表!$D$18))+N(OFFSET(D17,0,-规则表!$D$19))</f>
        <v>0</v>
      </c>
      <c r="E37" s="61">
        <f ca="1">N(OFFSET(E7,0,-规则表!$D$17))+N(OFFSET(E12,0,-规则表!$D$18))+N(OFFSET(E17,0,-规则表!$D$19))</f>
        <v>0</v>
      </c>
      <c r="F37" s="61">
        <f ca="1">N(OFFSET(F7,0,-规则表!$D$17))+N(OFFSET(F12,0,-规则表!$D$18))+N(OFFSET(F17,0,-规则表!$D$19))</f>
        <v>1250</v>
      </c>
      <c r="G37" s="62">
        <f ca="1">N(OFFSET(G7,0,-规则表!$D$17))+N(OFFSET(G12,0,-规则表!$D$18))+N(OFFSET(G17,0,-规则表!$D$19))</f>
        <v>0</v>
      </c>
      <c r="H37" s="61">
        <f ca="1">N(OFFSET(H7,0,-规则表!$D$17))+N(OFFSET(H12,0,-规则表!$D$18))+N(OFFSET(H17,0,-规则表!$D$19))</f>
        <v>1250</v>
      </c>
      <c r="I37" s="61">
        <f ca="1">N(OFFSET(I7,0,-规则表!$D$17))+N(OFFSET(I12,0,-规则表!$D$18))+N(OFFSET(I17,0,-规则表!$D$19))</f>
        <v>0</v>
      </c>
      <c r="J37" s="61">
        <f ca="1">N(OFFSET(J7,0,-规则表!$D$17))+N(OFFSET(J12,0,-规则表!$D$18))+N(OFFSET(J17,0,-规则表!$D$19))</f>
        <v>1250</v>
      </c>
      <c r="K37" s="62">
        <f ca="1">N(OFFSET(K7,0,-规则表!$D$17))+N(OFFSET(K12,0,-规则表!$D$18))+N(OFFSET(K17,0,-规则表!$D$19))</f>
        <v>0</v>
      </c>
      <c r="L37" s="61">
        <f ca="1">N(OFFSET(L7,0,-规则表!$D$17))+N(OFFSET(L12,0,-规则表!$D$18))+N(OFFSET(L17,0,-规则表!$D$19))</f>
        <v>1250</v>
      </c>
      <c r="M37" s="61">
        <f ca="1">N(OFFSET(M7,0,-规则表!$D$17))+N(OFFSET(M12,0,-规则表!$D$18))+N(OFFSET(M17,0,-规则表!$D$19))</f>
        <v>0</v>
      </c>
      <c r="N37" s="61">
        <f ca="1">N(OFFSET(N7,0,-规则表!$D$17))+N(OFFSET(N12,0,-规则表!$D$18))+N(OFFSET(N17,0,-规则表!$D$19))</f>
        <v>0</v>
      </c>
      <c r="O37" s="62">
        <f ca="1">N(OFFSET(O7,0,-规则表!$D$17))+N(OFFSET(O12,0,-规则表!$D$18))+N(OFFSET(O17,0,-规则表!$D$19))</f>
        <v>0</v>
      </c>
      <c r="P37" s="61">
        <f ca="1">N(OFFSET(P7,0,-规则表!$D$17))+N(OFFSET(P12,0,-规则表!$D$18))+N(OFFSET(P17,0,-规则表!$D$19))</f>
        <v>0</v>
      </c>
      <c r="Q37" s="61">
        <f ca="1">N(OFFSET(Q7,0,-规则表!$D$17))+N(OFFSET(Q12,0,-规则表!$D$18))+N(OFFSET(Q17,0,-规则表!$D$19))</f>
        <v>0</v>
      </c>
      <c r="R37" s="61">
        <f ca="1">N(OFFSET(R7,0,-规则表!$D$17))+N(OFFSET(R12,0,-规则表!$D$18))+N(OFFSET(R17,0,-规则表!$D$19))</f>
        <v>0</v>
      </c>
      <c r="S37" s="62">
        <f ca="1">N(OFFSET(S7,0,-规则表!$D$17))+N(OFFSET(S12,0,-规则表!$D$18))+N(OFFSET(S17,0,-规则表!$D$19))</f>
        <v>0</v>
      </c>
    </row>
    <row r="38" spans="1:19" ht="16.5">
      <c r="B38" s="364"/>
      <c r="C38" s="55" t="s">
        <v>192</v>
      </c>
      <c r="D38" s="65">
        <f ca="1">N(OFFSET(D8,0,-规则表!$D$17))+N(OFFSET(D13,0,-规则表!$D$18))+N(OFFSET(D18,0,-规则表!$D$19))</f>
        <v>0</v>
      </c>
      <c r="E38" s="65">
        <f ca="1">N(OFFSET(E8,0,-规则表!$D$17))+N(OFFSET(E13,0,-规则表!$D$18))+N(OFFSET(E18,0,-规则表!$D$19))</f>
        <v>0</v>
      </c>
      <c r="F38" s="65">
        <f ca="1">N(OFFSET(F8,0,-规则表!$D$17))+N(OFFSET(F13,0,-规则表!$D$18))+N(OFFSET(F18,0,-规则表!$D$19))</f>
        <v>0</v>
      </c>
      <c r="G38" s="65">
        <f ca="1">N(OFFSET(G8,0,-规则表!$D$17))+N(OFFSET(G13,0,-规则表!$D$18))+N(OFFSET(G18,0,-规则表!$D$19))</f>
        <v>0</v>
      </c>
      <c r="H38" s="65">
        <f ca="1">N(OFFSET(H8,0,-规则表!$D$17))+N(OFFSET(H13,0,-规则表!$D$18))+N(OFFSET(H18,0,-规则表!$D$19))</f>
        <v>0</v>
      </c>
      <c r="I38" s="65">
        <f ca="1">N(OFFSET(I8,0,-规则表!$D$17))+N(OFFSET(I13,0,-规则表!$D$18))+N(OFFSET(I18,0,-规则表!$D$19))</f>
        <v>0</v>
      </c>
      <c r="J38" s="65">
        <f ca="1">N(OFFSET(J8,0,-规则表!$D$17))+N(OFFSET(J13,0,-规则表!$D$18))+N(OFFSET(J18,0,-规则表!$D$19))</f>
        <v>0</v>
      </c>
      <c r="K38" s="65">
        <f ca="1">N(OFFSET(K8,0,-规则表!$D$17))+N(OFFSET(K13,0,-规则表!$D$18))+N(OFFSET(K18,0,-规则表!$D$19))</f>
        <v>0</v>
      </c>
      <c r="L38" s="65">
        <f ca="1">N(OFFSET(L8,0,-规则表!$D$17))+N(OFFSET(L13,0,-规则表!$D$18))+N(OFFSET(L18,0,-规则表!$D$19))</f>
        <v>0</v>
      </c>
      <c r="M38" s="65">
        <f ca="1">N(OFFSET(M8,0,-规则表!$D$17))+N(OFFSET(M13,0,-规则表!$D$18))+N(OFFSET(M18,0,-规则表!$D$19))</f>
        <v>0</v>
      </c>
      <c r="N38" s="65">
        <f ca="1">N(OFFSET(N8,0,-规则表!$D$17))+N(OFFSET(N13,0,-规则表!$D$18))+N(OFFSET(N18,0,-规则表!$D$19))</f>
        <v>0</v>
      </c>
      <c r="O38" s="65">
        <f ca="1">N(OFFSET(O8,0,-规则表!$D$17))+N(OFFSET(O13,0,-规则表!$D$18))+N(OFFSET(O18,0,-规则表!$D$19))</f>
        <v>0</v>
      </c>
      <c r="P38" s="65">
        <f ca="1">N(OFFSET(P8,0,-规则表!$D$17))+N(OFFSET(P13,0,-规则表!$D$18))+N(OFFSET(P18,0,-规则表!$D$19))</f>
        <v>0</v>
      </c>
      <c r="Q38" s="65">
        <f ca="1">N(OFFSET(Q8,0,-规则表!$D$17))+N(OFFSET(Q13,0,-规则表!$D$18))+N(OFFSET(Q18,0,-规则表!$D$19))</f>
        <v>0</v>
      </c>
      <c r="R38" s="65">
        <f ca="1">N(OFFSET(R8,0,-规则表!$D$17))+N(OFFSET(R13,0,-规则表!$D$18))+N(OFFSET(R18,0,-规则表!$D$19))</f>
        <v>0</v>
      </c>
      <c r="S38" s="65">
        <f ca="1">N(OFFSET(S8,0,-规则表!$D$17))+N(OFFSET(S13,0,-规则表!$D$18))+N(OFFSET(S18,0,-规则表!$D$19))</f>
        <v>0</v>
      </c>
    </row>
    <row r="41" spans="1:19" ht="42.75" hidden="1">
      <c r="A41" s="66" t="s">
        <v>11</v>
      </c>
      <c r="B41" s="67" t="s">
        <v>12</v>
      </c>
      <c r="C41" s="68" t="s">
        <v>13</v>
      </c>
      <c r="D41" s="69" t="s">
        <v>14</v>
      </c>
      <c r="E41" s="70" t="s">
        <v>15</v>
      </c>
      <c r="F41" s="70" t="s">
        <v>16</v>
      </c>
      <c r="G41" s="70" t="s">
        <v>17</v>
      </c>
      <c r="H41" s="70" t="s">
        <v>18</v>
      </c>
      <c r="I41" s="70" t="s">
        <v>19</v>
      </c>
      <c r="J41" s="70" t="s">
        <v>20</v>
      </c>
      <c r="K41" s="70" t="s">
        <v>21</v>
      </c>
      <c r="L41" s="70" t="s">
        <v>24</v>
      </c>
      <c r="M41" s="70" t="s">
        <v>25</v>
      </c>
      <c r="N41" s="64" t="s">
        <v>216</v>
      </c>
      <c r="O41" s="59" t="s">
        <v>28</v>
      </c>
      <c r="P41" s="59" t="s">
        <v>29</v>
      </c>
      <c r="Q41" s="71" t="s">
        <v>30</v>
      </c>
      <c r="R41" s="72" t="s">
        <v>217</v>
      </c>
      <c r="S41" s="73" t="s">
        <v>218</v>
      </c>
    </row>
    <row r="42" spans="1:19" ht="14.25" hidden="1">
      <c r="A42" s="66" t="str">
        <f>规则表!A17</f>
        <v>传统线</v>
      </c>
      <c r="B42" s="66">
        <f>规则表!B17</f>
        <v>100000</v>
      </c>
      <c r="C42" s="66">
        <f>规则表!C17</f>
        <v>0</v>
      </c>
      <c r="D42" s="74">
        <f>规则表!D17</f>
        <v>2</v>
      </c>
      <c r="E42" s="70">
        <f>规则表!E17</f>
        <v>50</v>
      </c>
      <c r="F42" s="70">
        <f>规则表!F17</f>
        <v>0</v>
      </c>
      <c r="G42" s="70">
        <f>规则表!G17</f>
        <v>20000</v>
      </c>
      <c r="H42" s="70">
        <f>规则表!H17</f>
        <v>10000</v>
      </c>
      <c r="I42" s="70">
        <f>规则表!I17</f>
        <v>10000</v>
      </c>
      <c r="J42" s="70">
        <f>规则表!J17</f>
        <v>2</v>
      </c>
      <c r="K42" s="70">
        <f>规则表!K17</f>
        <v>1</v>
      </c>
      <c r="L42" s="70">
        <f>规则表!N17</f>
        <v>100</v>
      </c>
      <c r="M42" s="70">
        <f>规则表!O17</f>
        <v>100</v>
      </c>
      <c r="N42" s="70">
        <f>规则表!P17</f>
        <v>125</v>
      </c>
      <c r="O42" s="70">
        <f>规则表!R17</f>
        <v>9000</v>
      </c>
      <c r="P42" s="70">
        <f>规则表!S17</f>
        <v>12500</v>
      </c>
      <c r="Q42" s="75">
        <f>规则表!T17</f>
        <v>12000</v>
      </c>
      <c r="R42" s="66">
        <f>规则表!W17</f>
        <v>2040</v>
      </c>
      <c r="S42" s="66">
        <f>规则表!U17</f>
        <v>600</v>
      </c>
    </row>
    <row r="43" spans="1:19" ht="14.25" hidden="1">
      <c r="A43" s="66" t="str">
        <f>规则表!A18</f>
        <v>自动线</v>
      </c>
      <c r="B43" s="66">
        <f>规则表!B18</f>
        <v>160000</v>
      </c>
      <c r="C43" s="66">
        <f>规则表!C18</f>
        <v>1</v>
      </c>
      <c r="D43" s="74">
        <f>规则表!D18</f>
        <v>1</v>
      </c>
      <c r="E43" s="70">
        <f>规则表!E18</f>
        <v>35</v>
      </c>
      <c r="F43" s="70">
        <f>规则表!F18</f>
        <v>0</v>
      </c>
      <c r="G43" s="70">
        <f>规则表!G18</f>
        <v>10000</v>
      </c>
      <c r="H43" s="70">
        <f>规则表!H18</f>
        <v>10000</v>
      </c>
      <c r="I43" s="70">
        <f>规则表!I18</f>
        <v>10000</v>
      </c>
      <c r="J43" s="70">
        <f>规则表!J18</f>
        <v>1</v>
      </c>
      <c r="K43" s="70">
        <f>规则表!K18</f>
        <v>1</v>
      </c>
      <c r="L43" s="70">
        <f>规则表!N18</f>
        <v>100</v>
      </c>
      <c r="M43" s="70">
        <f>规则表!O18</f>
        <v>100</v>
      </c>
      <c r="N43" s="70">
        <f>规则表!P18</f>
        <v>78</v>
      </c>
      <c r="O43" s="70">
        <f>规则表!R18</f>
        <v>7500</v>
      </c>
      <c r="P43" s="70">
        <f>规则表!S18</f>
        <v>5850</v>
      </c>
      <c r="Q43" s="75">
        <f>规则表!T18</f>
        <v>8000</v>
      </c>
      <c r="R43" s="66">
        <f>规则表!W18</f>
        <v>1360</v>
      </c>
      <c r="S43" s="66">
        <f>规则表!U18</f>
        <v>400</v>
      </c>
    </row>
    <row r="44" spans="1:19" ht="14.25" hidden="1">
      <c r="A44" s="66" t="str">
        <f>规则表!A19</f>
        <v>智能线</v>
      </c>
      <c r="B44" s="66">
        <f>规则表!B19</f>
        <v>250000</v>
      </c>
      <c r="C44" s="66">
        <f>规则表!C19</f>
        <v>2</v>
      </c>
      <c r="D44" s="74">
        <f>规则表!D19</f>
        <v>1</v>
      </c>
      <c r="E44" s="70">
        <f>规则表!E19</f>
        <v>30</v>
      </c>
      <c r="F44" s="70">
        <f>规则表!F19</f>
        <v>0</v>
      </c>
      <c r="G44" s="70">
        <f>规则表!G19</f>
        <v>0</v>
      </c>
      <c r="H44" s="70">
        <f>规则表!H19</f>
        <v>50000</v>
      </c>
      <c r="I44" s="70">
        <f>规则表!I19</f>
        <v>10000</v>
      </c>
      <c r="J44" s="70">
        <f>规则表!J19</f>
        <v>1</v>
      </c>
      <c r="K44" s="70">
        <f>规则表!K19</f>
        <v>2</v>
      </c>
      <c r="L44" s="70">
        <f>规则表!N19</f>
        <v>100</v>
      </c>
      <c r="M44" s="70">
        <f>规则表!O19</f>
        <v>100</v>
      </c>
      <c r="N44" s="70">
        <f>规则表!P19</f>
        <v>97</v>
      </c>
      <c r="O44" s="70">
        <f>规则表!R19</f>
        <v>13500</v>
      </c>
      <c r="P44" s="70">
        <f>规则表!S19</f>
        <v>12125</v>
      </c>
      <c r="Q44" s="75">
        <f>规则表!T19</f>
        <v>12000</v>
      </c>
      <c r="R44" s="66">
        <f>规则表!W19</f>
        <v>2040</v>
      </c>
      <c r="S44" s="66">
        <f>规则表!U19</f>
        <v>600</v>
      </c>
    </row>
    <row r="45" spans="1:19" ht="14.25" hidden="1">
      <c r="A45" s="70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</row>
    <row r="46" spans="1:19" ht="28.5" hidden="1">
      <c r="A46" s="66" t="s">
        <v>38</v>
      </c>
      <c r="B46" s="66" t="s">
        <v>39</v>
      </c>
      <c r="C46" s="67" t="s">
        <v>40</v>
      </c>
      <c r="D46" s="76" t="s">
        <v>41</v>
      </c>
      <c r="E46" s="70" t="s">
        <v>42</v>
      </c>
      <c r="F46" s="70" t="s">
        <v>43</v>
      </c>
      <c r="G46" s="64" t="s">
        <v>44</v>
      </c>
      <c r="H46" s="70" t="s">
        <v>45</v>
      </c>
      <c r="I46" s="64"/>
      <c r="J46" s="70" t="s">
        <v>46</v>
      </c>
      <c r="K46" s="70" t="s">
        <v>47</v>
      </c>
      <c r="L46" s="70" t="s">
        <v>48</v>
      </c>
      <c r="M46" s="70" t="s">
        <v>49</v>
      </c>
      <c r="N46" s="70" t="s">
        <v>50</v>
      </c>
      <c r="O46" s="70" t="s">
        <v>51</v>
      </c>
    </row>
    <row r="47" spans="1:19" ht="14.25" hidden="1">
      <c r="A47" s="66" t="str">
        <f>规则表!A23</f>
        <v>P1</v>
      </c>
      <c r="B47" s="66">
        <f>规则表!B23</f>
        <v>1800</v>
      </c>
      <c r="C47" s="66">
        <f>规则表!C23</f>
        <v>2</v>
      </c>
      <c r="D47" s="74">
        <f>规则表!D23</f>
        <v>2</v>
      </c>
      <c r="E47" s="70">
        <f>规则表!E23</f>
        <v>1</v>
      </c>
      <c r="F47" s="70">
        <f>规则表!F23</f>
        <v>0</v>
      </c>
      <c r="G47" s="70">
        <f>规则表!G23</f>
        <v>0</v>
      </c>
      <c r="H47" s="70">
        <f>规则表!H23</f>
        <v>500</v>
      </c>
      <c r="J47" s="70" t="str">
        <f>规则表!J23</f>
        <v>初级工</v>
      </c>
      <c r="K47" s="70" t="str">
        <f>规则表!K23</f>
        <v>GR1</v>
      </c>
      <c r="L47" s="70">
        <f>规则表!L23</f>
        <v>500</v>
      </c>
      <c r="M47" s="70">
        <f>规则表!M23</f>
        <v>25</v>
      </c>
      <c r="N47" s="70">
        <f>规则表!N23</f>
        <v>20</v>
      </c>
      <c r="O47" s="70">
        <f>规则表!O23</f>
        <v>60</v>
      </c>
    </row>
    <row r="48" spans="1:19" ht="14.25" hidden="1">
      <c r="A48" s="66" t="str">
        <f>规则表!A24</f>
        <v>P2</v>
      </c>
      <c r="B48" s="66">
        <f>规则表!B24</f>
        <v>3400</v>
      </c>
      <c r="C48" s="66">
        <f>规则表!C24</f>
        <v>2</v>
      </c>
      <c r="D48" s="74">
        <f>规则表!D24</f>
        <v>3</v>
      </c>
      <c r="E48" s="70">
        <f>规则表!E24</f>
        <v>2</v>
      </c>
      <c r="F48" s="70">
        <f>规则表!F24</f>
        <v>2</v>
      </c>
      <c r="G48" s="70">
        <f>规则表!G24</f>
        <v>0</v>
      </c>
      <c r="H48" s="70">
        <f>规则表!H24</f>
        <v>900</v>
      </c>
      <c r="J48" s="70" t="str">
        <f>规则表!J24</f>
        <v>高级工</v>
      </c>
      <c r="K48" s="70" t="str">
        <f>规则表!K24</f>
        <v>GR2</v>
      </c>
      <c r="L48" s="70">
        <f>规则表!L24</f>
        <v>2000</v>
      </c>
      <c r="M48" s="70">
        <f>规则表!M24</f>
        <v>50</v>
      </c>
      <c r="N48" s="70">
        <f>规则表!N24</f>
        <v>10</v>
      </c>
      <c r="O48" s="70">
        <f>规则表!O24</f>
        <v>60</v>
      </c>
    </row>
    <row r="49" spans="1:20" ht="14.25" hidden="1">
      <c r="A49" s="66" t="str">
        <f>规则表!A25</f>
        <v>P3</v>
      </c>
      <c r="B49" s="66">
        <f>规则表!B25</f>
        <v>5800</v>
      </c>
      <c r="C49" s="66">
        <f>规则表!C25</f>
        <v>5</v>
      </c>
      <c r="D49" s="74">
        <f>规则表!D25</f>
        <v>3</v>
      </c>
      <c r="E49" s="70">
        <f>规则表!E25</f>
        <v>3</v>
      </c>
      <c r="F49" s="70">
        <f>规则表!F25</f>
        <v>4</v>
      </c>
      <c r="G49" s="70">
        <f>规则表!G25</f>
        <v>0</v>
      </c>
      <c r="H49" s="70">
        <f>规则表!H25</f>
        <v>1500</v>
      </c>
    </row>
    <row r="50" spans="1:20" ht="28.5" hidden="1">
      <c r="A50" s="66" t="str">
        <f>规则表!A26</f>
        <v>P4</v>
      </c>
      <c r="B50" s="66">
        <f>规则表!B26</f>
        <v>8600</v>
      </c>
      <c r="C50" s="66">
        <f>规则表!C26</f>
        <v>6</v>
      </c>
      <c r="D50" s="74">
        <f>规则表!D26</f>
        <v>7</v>
      </c>
      <c r="E50" s="70">
        <f>规则表!E26</f>
        <v>5</v>
      </c>
      <c r="F50" s="70">
        <f>规则表!F26</f>
        <v>5</v>
      </c>
      <c r="G50" s="70">
        <f>规则表!G26</f>
        <v>0</v>
      </c>
      <c r="H50" s="70">
        <f>规则表!H26</f>
        <v>2300</v>
      </c>
      <c r="J50" s="70" t="s">
        <v>59</v>
      </c>
      <c r="K50" s="70" t="s">
        <v>47</v>
      </c>
      <c r="L50" s="70" t="s">
        <v>60</v>
      </c>
      <c r="M50" s="70" t="s">
        <v>61</v>
      </c>
    </row>
    <row r="51" spans="1:20" ht="14.25" hidden="1">
      <c r="A51" s="66">
        <f>规则表!A27</f>
        <v>0</v>
      </c>
      <c r="B51" s="66">
        <f>规则表!B27</f>
        <v>6000</v>
      </c>
      <c r="C51" s="66">
        <f>规则表!C27</f>
        <v>0</v>
      </c>
      <c r="D51" s="74">
        <f>规则表!D27</f>
        <v>0</v>
      </c>
      <c r="E51" s="70">
        <f>规则表!E27</f>
        <v>0</v>
      </c>
      <c r="F51" s="70">
        <f>规则表!F27</f>
        <v>0</v>
      </c>
      <c r="G51" s="70">
        <f>规则表!G27</f>
        <v>0</v>
      </c>
      <c r="H51" s="70">
        <f>规则表!H27</f>
        <v>0</v>
      </c>
      <c r="J51" s="70" t="str">
        <f>规则表!J27</f>
        <v>奖金激励</v>
      </c>
      <c r="K51" s="70" t="str">
        <f>规则表!K27</f>
        <v>JL1</v>
      </c>
      <c r="L51" s="70">
        <f>规则表!L27</f>
        <v>100</v>
      </c>
      <c r="M51" s="70">
        <f>规则表!M27</f>
        <v>100</v>
      </c>
      <c r="P51" t="s">
        <v>219</v>
      </c>
      <c r="Q51" s="77" t="s">
        <v>220</v>
      </c>
      <c r="R51" s="78" t="s">
        <v>221</v>
      </c>
      <c r="S51" s="78" t="s">
        <v>222</v>
      </c>
      <c r="T51" s="78" t="s">
        <v>223</v>
      </c>
    </row>
    <row r="52" spans="1:20" ht="14.25" hidden="1">
      <c r="A52" s="66">
        <f>规则表!A28</f>
        <v>0</v>
      </c>
      <c r="B52" s="66" t="str">
        <f>规则表!B28</f>
        <v>送货周期</v>
      </c>
      <c r="C52" s="66">
        <f>规则表!C28</f>
        <v>1</v>
      </c>
      <c r="D52" s="74">
        <f>规则表!D28</f>
        <v>1</v>
      </c>
      <c r="E52" s="70">
        <f>规则表!E28</f>
        <v>1</v>
      </c>
      <c r="F52" s="70">
        <f>规则表!F28</f>
        <v>2</v>
      </c>
      <c r="G52" s="70">
        <f>规则表!G28</f>
        <v>1</v>
      </c>
      <c r="H52" s="70">
        <f>规则表!H28</f>
        <v>0</v>
      </c>
      <c r="J52" s="70" t="str">
        <f>规则表!J28</f>
        <v>涨薪激励</v>
      </c>
      <c r="K52" s="70" t="str">
        <f>规则表!K28</f>
        <v>JL2</v>
      </c>
      <c r="L52" s="70">
        <f>规则表!L28</f>
        <v>600</v>
      </c>
      <c r="M52" s="70">
        <f>规则表!M28</f>
        <v>17</v>
      </c>
      <c r="P52" t="s">
        <v>36</v>
      </c>
      <c r="Q52" s="77">
        <f>IF(C43=1,$M$52*(L43-$O$47)*9+$M$52*(M43-$O$48)*9-(L43-$O$47)*$M$51-(M43-$O$48)*$M$51)+IF(C43=2,$M$52*(L43-$O$47)*6+$M$52*(M43-$O$48)*6-(L43-$O$47)*$M$51-(M43-$O$48)*$M$51)</f>
        <v>4240</v>
      </c>
      <c r="R52" s="78">
        <f>IF(D43=1,$M$52*(M43-$O$47)*2+$M$52*(N43-$O$48)*2+O43*2/3)+IF(D43=2,$M$52*(M43-$O$47)*2+$M$52*(N43-$O$48)*2+O43*2/3)</f>
        <v>6972</v>
      </c>
      <c r="S52" s="78">
        <f>($E$56*N43-($H$47*N43+O43+P43+S43))*3</f>
        <v>976182</v>
      </c>
      <c r="T52" s="78">
        <f>($E$56*N43-($H$47*N43+O43+P43+S43))*2+$E$57*N43-($H$48*N43+O43+P43+S43)</f>
        <v>1161371.5499999998</v>
      </c>
    </row>
    <row r="53" spans="1:20" ht="14.25" hidden="1">
      <c r="A53" s="66">
        <f>规则表!A29</f>
        <v>0</v>
      </c>
      <c r="B53" s="66" t="str">
        <f>规则表!B29</f>
        <v>账期</v>
      </c>
      <c r="C53" s="66">
        <f>规则表!C29</f>
        <v>0</v>
      </c>
      <c r="D53" s="74">
        <f>规则表!D29</f>
        <v>0</v>
      </c>
      <c r="E53" s="70">
        <f>规则表!E29</f>
        <v>0</v>
      </c>
      <c r="F53" s="70">
        <f>规则表!F29</f>
        <v>0</v>
      </c>
      <c r="G53" s="70">
        <f>规则表!G29</f>
        <v>0</v>
      </c>
      <c r="H53" s="70">
        <f>规则表!H29</f>
        <v>0</v>
      </c>
      <c r="P53" t="s">
        <v>37</v>
      </c>
      <c r="Q53" s="77">
        <f>IF(C44=1,$M$52*(L44-$O$47)*9+$M$52*(M44-$O$48)*9-(L44-$O$47)*$M$51-(M44-$O$48)*$M$51)+IF(C44=2,$M$52*(L44-$O$47)*6+$M$52*(M44-$O$48)*6-(L44-$O$47)*$M$51-(M44-$O$48)*$M$51)</f>
        <v>160</v>
      </c>
      <c r="R53" s="78">
        <f>IF(D44=1,$M$52*(M44-$O$47)*2+$M$52*(N44-$O$48)*2+O44*2/3)+IF(D44=2,$M$52*(M44-$O$47)*2+$M$52*(N44-$O$48)*2+O44*2/3)</f>
        <v>11618</v>
      </c>
      <c r="S53" s="78">
        <f>($E$56*N44-($H$47*N44+O44+P44+S44))*3</f>
        <v>1186593</v>
      </c>
      <c r="T53" s="78">
        <f>($E$56*N44-($H$47*N44+O44+P44+S44))*2+$E$57*N44-($H$48*N44+O44+P44+S44)</f>
        <v>1416892.825</v>
      </c>
    </row>
    <row r="54" spans="1:20" ht="28.5" hidden="1">
      <c r="A54" s="66">
        <f>规则表!A30</f>
        <v>0</v>
      </c>
      <c r="B54" s="66" t="str">
        <f>规则表!B30</f>
        <v>材料价格</v>
      </c>
      <c r="C54" s="66">
        <f>规则表!C30</f>
        <v>100</v>
      </c>
      <c r="D54" s="74">
        <f>规则表!D30</f>
        <v>100</v>
      </c>
      <c r="E54" s="70">
        <f>规则表!E30</f>
        <v>100</v>
      </c>
      <c r="F54" s="70">
        <f>规则表!F30</f>
        <v>100</v>
      </c>
      <c r="G54" s="70">
        <f>规则表!G30</f>
        <v>0</v>
      </c>
      <c r="H54" s="70">
        <f>规则表!H30</f>
        <v>0</v>
      </c>
      <c r="J54" s="70" t="s">
        <v>69</v>
      </c>
      <c r="K54" s="70" t="s">
        <v>70</v>
      </c>
      <c r="L54" s="70" t="s">
        <v>71</v>
      </c>
      <c r="M54" s="70" t="s">
        <v>72</v>
      </c>
      <c r="R54" t="s">
        <v>224</v>
      </c>
    </row>
    <row r="55" spans="1:20" ht="14.25" hidden="1">
      <c r="B55" s="79" t="s">
        <v>225</v>
      </c>
      <c r="C55" s="80" t="s">
        <v>226</v>
      </c>
      <c r="D55" s="81" t="s">
        <v>227</v>
      </c>
      <c r="E55" s="35"/>
      <c r="J55" s="70" t="str">
        <f>规则表!J31</f>
        <v>8小时制</v>
      </c>
      <c r="K55" s="70" t="str">
        <f>规则表!K31</f>
        <v>BC1</v>
      </c>
      <c r="L55" s="70">
        <f>规则表!L31</f>
        <v>1</v>
      </c>
      <c r="M55" s="70">
        <f>规则表!M31</f>
        <v>2</v>
      </c>
    </row>
    <row r="56" spans="1:20" ht="14.25" hidden="1">
      <c r="B56" s="82">
        <f>N43*H47*2+B43</f>
        <v>238000</v>
      </c>
      <c r="C56" s="83">
        <f>N43*2*E56-2*(H47*N43+O43+P43+S43)</f>
        <v>650788</v>
      </c>
      <c r="D56" s="84">
        <f>C56/B56</f>
        <v>2.7344033613445378</v>
      </c>
      <c r="E56" s="35" cm="1">
        <f t="array" ref="E56">AVERAGE(_xlfn._xlws.FILTER(原始订单表!M:M,(原始订单表!A:A=1)*(原始订单表!B:B=2)*(原始订单表!E:E=A47),0))</f>
        <v>4848</v>
      </c>
      <c r="J56" s="70" t="str">
        <f>规则表!J32</f>
        <v>12小时制</v>
      </c>
      <c r="K56" s="70" t="str">
        <f>规则表!K32</f>
        <v>BC2</v>
      </c>
      <c r="L56" s="70">
        <f>规则表!L32</f>
        <v>1.2</v>
      </c>
      <c r="M56" s="70">
        <f>规则表!M32</f>
        <v>50</v>
      </c>
    </row>
    <row r="57" spans="1:20" hidden="1">
      <c r="B57" s="82">
        <f>H48*N43+H47*N43+G43+B43</f>
        <v>279200</v>
      </c>
      <c r="C57" s="83">
        <f>N43*E57+E56*N43-(H47*N43+O43+P43+S43)-(H48*N43+O43+P43+S43)</f>
        <v>835977.54999999993</v>
      </c>
      <c r="D57" s="84">
        <f>C57/B57</f>
        <v>2.9941889326647564</v>
      </c>
      <c r="E57" s="35" cm="1">
        <f t="array" ref="E57">AVERAGE(_xlfn._xlws.FILTER(原始订单表!M:M,_xlfn.IFNA((原始订单表!A:A=2)*(原始订单表!B:B=1)*(原始订单表!E:E=A48),),0))</f>
        <v>7622.2249999999995</v>
      </c>
    </row>
    <row r="59" spans="1:20" ht="16.5">
      <c r="O59" s="43"/>
    </row>
    <row r="60" spans="1:20" ht="16.5">
      <c r="G60" s="43"/>
      <c r="H60" s="43"/>
      <c r="I60" s="43"/>
      <c r="J60" s="43"/>
      <c r="O60" s="43"/>
    </row>
    <row r="61" spans="1:20" ht="16.5">
      <c r="G61" s="43"/>
      <c r="H61" s="43"/>
      <c r="I61" s="43"/>
      <c r="J61" s="43"/>
    </row>
    <row r="62" spans="1:20" ht="16.5">
      <c r="G62" s="43"/>
      <c r="H62" s="43"/>
      <c r="I62" s="43"/>
      <c r="J62" s="43"/>
    </row>
    <row r="63" spans="1:20" ht="16.5">
      <c r="G63" s="43"/>
      <c r="H63" s="43"/>
      <c r="I63" s="43"/>
      <c r="J63" s="43"/>
    </row>
    <row r="64" spans="1:20" ht="16.5">
      <c r="G64" s="43"/>
      <c r="H64" s="43"/>
      <c r="I64" s="43"/>
      <c r="J64" s="43"/>
      <c r="K64" s="43"/>
    </row>
    <row r="65" spans="11:11" ht="16.5">
      <c r="K65" s="43"/>
    </row>
  </sheetData>
  <sheetProtection formatCells="0" formatColumns="0" formatRows="0" insertColumns="0" insertRows="0" insertHyperlinks="0" deleteColumns="0" deleteRows="0" sort="0" autoFilter="0" pivotTables="0"/>
  <mergeCells count="12">
    <mergeCell ref="B28:B32"/>
    <mergeCell ref="B34:B38"/>
    <mergeCell ref="A4:A18"/>
    <mergeCell ref="B4:B8"/>
    <mergeCell ref="B9:B13"/>
    <mergeCell ref="B14:B18"/>
    <mergeCell ref="B20:B24"/>
    <mergeCell ref="D1:G1"/>
    <mergeCell ref="H1:K1"/>
    <mergeCell ref="L1:O1"/>
    <mergeCell ref="P1:S1"/>
    <mergeCell ref="A3:C3"/>
  </mergeCells>
  <phoneticPr fontId="33" type="noConversion"/>
  <dataValidations count="1">
    <dataValidation type="list" allowBlank="1" showInputMessage="1" showErrorMessage="1" sqref="D3:S3" xr:uid="{00000000-0002-0000-0400-000000000000}">
      <formula1>$A$1:$B$1</formula1>
    </dataValidation>
  </dataValidations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K17"/>
  <sheetViews>
    <sheetView zoomScale="145" zoomScaleNormal="145" workbookViewId="0">
      <selection activeCell="J40" sqref="J40"/>
    </sheetView>
  </sheetViews>
  <sheetFormatPr defaultColWidth="8.75" defaultRowHeight="13.5"/>
  <cols>
    <col min="6" max="6" width="11.875" customWidth="1"/>
    <col min="9" max="9" width="8.75" hidden="1" customWidth="1"/>
    <col min="10" max="10" width="18.5" customWidth="1"/>
  </cols>
  <sheetData>
    <row r="3" spans="1:11">
      <c r="A3" s="365" t="s">
        <v>228</v>
      </c>
      <c r="B3" s="365"/>
      <c r="C3" s="46">
        <v>1</v>
      </c>
      <c r="D3" s="365" t="s">
        <v>229</v>
      </c>
      <c r="E3" s="365"/>
      <c r="F3" s="46">
        <v>2.2999999999999998</v>
      </c>
      <c r="G3" s="365" t="s">
        <v>155</v>
      </c>
      <c r="H3" s="365"/>
      <c r="I3" s="47"/>
      <c r="J3" s="46" t="s">
        <v>188</v>
      </c>
    </row>
    <row r="4" spans="1:11">
      <c r="A4" s="48" t="s">
        <v>230</v>
      </c>
      <c r="B4" s="48" t="s">
        <v>155</v>
      </c>
      <c r="C4" s="48" t="s">
        <v>231</v>
      </c>
      <c r="D4" s="48" t="s">
        <v>232</v>
      </c>
      <c r="E4" s="48" t="s">
        <v>233</v>
      </c>
      <c r="F4" s="48" t="s">
        <v>234</v>
      </c>
      <c r="G4" s="48" t="s">
        <v>235</v>
      </c>
      <c r="H4" s="48" t="s">
        <v>236</v>
      </c>
      <c r="I4" s="48"/>
      <c r="J4" s="48" t="s">
        <v>237</v>
      </c>
      <c r="K4" s="49" t="s">
        <v>238</v>
      </c>
    </row>
    <row r="5" spans="1:11">
      <c r="A5" t="str" cm="1">
        <f t="array" ref="A5:J8">_xlfn._xlws.SORT(_xlfn._xlws.FILTER(原始订单表!$D:$M,(原始订单表!A:A=C3)*IF(MOD(F3,1)=0,(原始订单表!B:B=F3),(原始订单表!B:B=INT(INDEX(_xlfn.TEXTSPLIT(F3,"."),1)))+(原始订单表!B:B=INT(INDEX(_xlfn.TEXTSPLIT(F3,"."),2))))*(原始订单表!E:E=J3),0),5,-1,FALSE)</f>
        <v>亚洲市场</v>
      </c>
      <c r="B5" t="str">
        <v>P1</v>
      </c>
      <c r="C5" t="str">
        <v>T1</v>
      </c>
      <c r="D5">
        <v>4200</v>
      </c>
      <c r="E5">
        <v>3500</v>
      </c>
      <c r="F5">
        <v>4</v>
      </c>
      <c r="G5">
        <v>2</v>
      </c>
      <c r="H5" t="str">
        <v>IS09000</v>
      </c>
      <c r="I5">
        <v>3</v>
      </c>
      <c r="J5">
        <v>4032</v>
      </c>
      <c r="K5">
        <f>INT(E5*0.3)</f>
        <v>1050</v>
      </c>
    </row>
    <row r="6" spans="1:11">
      <c r="A6" t="str">
        <v>亚洲市场</v>
      </c>
      <c r="B6" t="str">
        <v>P1</v>
      </c>
      <c r="C6" t="str">
        <v>T2</v>
      </c>
      <c r="D6">
        <v>4300</v>
      </c>
      <c r="E6">
        <v>3000</v>
      </c>
      <c r="F6">
        <v>4</v>
      </c>
      <c r="G6">
        <v>2</v>
      </c>
      <c r="H6" t="str">
        <v>IS09000</v>
      </c>
      <c r="I6">
        <v>3</v>
      </c>
      <c r="J6">
        <v>4128</v>
      </c>
      <c r="K6">
        <f t="shared" ref="K6:K17" si="0">INT(E6*0.3)</f>
        <v>900</v>
      </c>
    </row>
    <row r="7" spans="1:11">
      <c r="A7" t="str">
        <v>国内市场</v>
      </c>
      <c r="B7" t="str">
        <v>P1</v>
      </c>
      <c r="C7" t="str">
        <v>T2</v>
      </c>
      <c r="D7">
        <v>5000</v>
      </c>
      <c r="E7">
        <v>2400</v>
      </c>
      <c r="F7">
        <v>4</v>
      </c>
      <c r="G7">
        <v>2</v>
      </c>
      <c r="H7">
        <v>0</v>
      </c>
      <c r="I7">
        <v>2</v>
      </c>
      <c r="J7">
        <v>4800</v>
      </c>
      <c r="K7">
        <f t="shared" si="0"/>
        <v>720</v>
      </c>
    </row>
    <row r="8" spans="1:11">
      <c r="A8" t="str">
        <v>国内市场</v>
      </c>
      <c r="B8" t="str">
        <v>P1</v>
      </c>
      <c r="C8" t="str">
        <v>T3</v>
      </c>
      <c r="D8">
        <v>5100</v>
      </c>
      <c r="E8">
        <v>1800</v>
      </c>
      <c r="F8">
        <v>4</v>
      </c>
      <c r="G8">
        <v>2</v>
      </c>
      <c r="H8">
        <v>0</v>
      </c>
      <c r="I8">
        <v>2</v>
      </c>
      <c r="J8">
        <v>4896</v>
      </c>
      <c r="K8">
        <f t="shared" si="0"/>
        <v>540</v>
      </c>
    </row>
    <row r="9" spans="1:11">
      <c r="K9">
        <f t="shared" si="0"/>
        <v>0</v>
      </c>
    </row>
    <row r="10" spans="1:11">
      <c r="K10">
        <f t="shared" si="0"/>
        <v>0</v>
      </c>
    </row>
    <row r="11" spans="1:11">
      <c r="K11">
        <f t="shared" si="0"/>
        <v>0</v>
      </c>
    </row>
    <row r="12" spans="1:11">
      <c r="K12">
        <f t="shared" si="0"/>
        <v>0</v>
      </c>
    </row>
    <row r="13" spans="1:11">
      <c r="K13">
        <f t="shared" si="0"/>
        <v>0</v>
      </c>
    </row>
    <row r="14" spans="1:11">
      <c r="K14">
        <f t="shared" si="0"/>
        <v>0</v>
      </c>
    </row>
    <row r="15" spans="1:11">
      <c r="K15">
        <f t="shared" si="0"/>
        <v>0</v>
      </c>
    </row>
    <row r="16" spans="1:11">
      <c r="K16">
        <f t="shared" si="0"/>
        <v>0</v>
      </c>
    </row>
    <row r="17" spans="11:11">
      <c r="K17">
        <f t="shared" si="0"/>
        <v>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3:B3"/>
    <mergeCell ref="D3:E3"/>
    <mergeCell ref="G3:H3"/>
  </mergeCells>
  <phoneticPr fontId="3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8"/>
  <sheetViews>
    <sheetView workbookViewId="0">
      <selection activeCell="J40" sqref="J40"/>
    </sheetView>
  </sheetViews>
  <sheetFormatPr defaultColWidth="8.75" defaultRowHeight="13.5"/>
  <cols>
    <col min="1" max="1" width="13" customWidth="1"/>
    <col min="2" max="2" width="12.25" customWidth="1"/>
    <col min="3" max="6" width="8.25" customWidth="1"/>
    <col min="7" max="7" width="7.375" customWidth="1"/>
    <col min="8" max="8" width="14.125" customWidth="1"/>
    <col min="9" max="12" width="9.875" customWidth="1"/>
    <col min="13" max="13" width="12.25" customWidth="1"/>
    <col min="14" max="16" width="11" customWidth="1"/>
    <col min="17" max="17" width="13" customWidth="1"/>
  </cols>
  <sheetData>
    <row r="1" spans="1:17" ht="22.5" customHeight="1">
      <c r="A1" s="37" t="s">
        <v>239</v>
      </c>
      <c r="B1" s="37"/>
      <c r="C1" s="37" t="s">
        <v>188</v>
      </c>
      <c r="D1" s="37" t="s">
        <v>189</v>
      </c>
      <c r="E1" s="37" t="s">
        <v>190</v>
      </c>
      <c r="F1" s="37" t="s">
        <v>191</v>
      </c>
      <c r="G1" s="37" t="s">
        <v>192</v>
      </c>
      <c r="H1" s="37" t="s">
        <v>40</v>
      </c>
      <c r="I1" s="37" t="s">
        <v>41</v>
      </c>
      <c r="J1" s="37" t="s">
        <v>42</v>
      </c>
      <c r="K1" s="37" t="s">
        <v>43</v>
      </c>
      <c r="L1" s="37" t="s">
        <v>44</v>
      </c>
      <c r="M1" s="369" t="s">
        <v>240</v>
      </c>
      <c r="N1" s="38" t="s">
        <v>203</v>
      </c>
      <c r="O1" s="38" t="s">
        <v>36</v>
      </c>
      <c r="P1" s="38" t="s">
        <v>37</v>
      </c>
      <c r="Q1" s="39" t="s">
        <v>241</v>
      </c>
    </row>
    <row r="2" spans="1:17" ht="22.5" customHeight="1">
      <c r="A2" s="366" t="s">
        <v>79</v>
      </c>
      <c r="B2" s="40" t="s">
        <v>242</v>
      </c>
      <c r="C2" s="41" cm="1">
        <f t="array" ref="C2:G17">TRANSPOSE(材料表!D28:S32)</f>
        <v>0</v>
      </c>
      <c r="D2" s="41">
        <v>0</v>
      </c>
      <c r="E2" s="41">
        <v>0</v>
      </c>
      <c r="F2" s="41">
        <v>1250</v>
      </c>
      <c r="G2" s="41">
        <v>0</v>
      </c>
      <c r="H2" s="42" cm="1">
        <f t="array" ref="H2">SUM(TRANSPOSE(INDEX($C$2:$G$17,1+C$27,0))*(C$22:C$26))</f>
        <v>0</v>
      </c>
      <c r="I2" s="42" cm="1">
        <f t="array" ref="I2">SUM(TRANSPOSE(INDEX($C$2:$G$17,1+D$27,0))*(D$22:D$26))</f>
        <v>0</v>
      </c>
      <c r="J2" s="42" cm="1">
        <f t="array" ref="J2">SUM(TRANSPOSE(INDEX($C$2:$G$17,1+E$27,0))*(E$22:E$26))</f>
        <v>0</v>
      </c>
      <c r="K2" s="42" cm="1">
        <f t="array" ref="K2">SUM(TRANSPOSE(INDEX($C$2:$G$17,1+F$27,0))*(F$22:F$26))</f>
        <v>6250</v>
      </c>
      <c r="L2" s="42" cm="1">
        <f t="array" ref="L2">SUM(TRANSPOSE(INDEX($C$2:$G$17,1+G$27,0))*(G$22:G$26))</f>
        <v>0</v>
      </c>
      <c r="M2" s="370"/>
      <c r="N2" s="41" cm="1">
        <f t="array" ref="N2:P17">TRANSPOSE(生产建设!I60:X62)</f>
        <v>10</v>
      </c>
      <c r="O2" s="41">
        <v>0</v>
      </c>
      <c r="P2" s="41">
        <v>0</v>
      </c>
      <c r="Q2" s="42">
        <f t="array" ref="Q2">IFERROR($N$18*INDEX(N2:P17,1-$N$19,1),0)*IF(1-$N$19&lt;=0,0,1)+IFERROR($O$18*INDEX(N2:P17,1-$O$19,2),0)*IF(1-$O$19&lt;=0,0,1)+IFERROR($P$18*INDEX(N2:P17,1-$P$19,3),0)*IF(1-$P$19&lt;=0,0,1)</f>
        <v>1250</v>
      </c>
    </row>
    <row r="3" spans="1:17" ht="22.5" customHeight="1">
      <c r="A3" s="367"/>
      <c r="B3" s="40" t="s">
        <v>243</v>
      </c>
      <c r="C3" s="41">
        <v>0</v>
      </c>
      <c r="D3" s="41">
        <v>0</v>
      </c>
      <c r="E3" s="41">
        <v>0</v>
      </c>
      <c r="F3" s="41">
        <v>0</v>
      </c>
      <c r="G3" s="41">
        <v>0</v>
      </c>
      <c r="H3" s="42" cm="1">
        <f t="array" ref="H3">SUM(TRANSPOSE(INDEX($C$2:$G$17,2+C$27,0))*(C$22:C$26))</f>
        <v>7500</v>
      </c>
      <c r="I3" s="42" cm="1">
        <f t="array" ref="I3">SUM(TRANSPOSE(INDEX($C$2:$G$17,2+D$27,0))*(D$22:D$26))</f>
        <v>8750</v>
      </c>
      <c r="J3" s="42" cm="1">
        <f t="array" ref="J3">SUM(TRANSPOSE(INDEX($C$2:$G$17,2+E$27,0))*(E$22:E$26))</f>
        <v>6250</v>
      </c>
      <c r="K3" s="42" cm="1">
        <f t="array" ref="K3">SUM(TRANSPOSE(INDEX($C$2:$G$17,2+F$27,0))*(F$22:F$26))</f>
        <v>0</v>
      </c>
      <c r="L3" s="42" cm="1">
        <f t="array" ref="L3">SUM(TRANSPOSE(INDEX($C$2:$G$17,2+G$27,0))*(G$22:G$26))</f>
        <v>0</v>
      </c>
      <c r="M3" s="370"/>
      <c r="N3" s="41">
        <v>0</v>
      </c>
      <c r="O3" s="41">
        <v>0</v>
      </c>
      <c r="P3" s="41">
        <v>0</v>
      </c>
      <c r="Q3" s="42">
        <f t="array" ref="Q3">IFERROR($N$18*INDEX(N2:P17,2-$N$19,1),0)*IF(2-$N$19&lt;=0,0,1)+IFERROR($O$18*INDEX(N2:P17,2-$O$19,2),0)*IF(2-$O$19&lt;=0,0,1)+IFERROR($P$18*INDEX(N2:P17,2-$P$19,3),0)*IF(2-$P$19&lt;=0,0,1)+Q2</f>
        <v>1250</v>
      </c>
    </row>
    <row r="4" spans="1:17" ht="22.5" customHeight="1">
      <c r="A4" s="367"/>
      <c r="B4" s="40" t="s">
        <v>244</v>
      </c>
      <c r="C4" s="41">
        <v>0</v>
      </c>
      <c r="D4" s="41">
        <v>0</v>
      </c>
      <c r="E4" s="41">
        <v>0</v>
      </c>
      <c r="F4" s="41">
        <v>1250</v>
      </c>
      <c r="G4" s="41">
        <v>0</v>
      </c>
      <c r="H4" s="42" cm="1">
        <f t="array" ref="H4">SUM(TRANSPOSE(INDEX($C$2:$G$17,3+C$27,0))*(C$22:C$26))</f>
        <v>0</v>
      </c>
      <c r="I4" s="42" cm="1">
        <f t="array" ref="I4">SUM(TRANSPOSE(INDEX($C$2:$G$17,3+D$27,0))*(D$22:D$26))</f>
        <v>0</v>
      </c>
      <c r="J4" s="42" cm="1">
        <f t="array" ref="J4">SUM(TRANSPOSE(INDEX($C$2:$G$17,3+E$27,0))*(E$22:E$26))</f>
        <v>0</v>
      </c>
      <c r="K4" s="42" cm="1">
        <f t="array" ref="K4">SUM(TRANSPOSE(INDEX($C$2:$G$17,3+F$27,0))*(F$22:F$26))</f>
        <v>6250</v>
      </c>
      <c r="L4" s="42" cm="1">
        <f t="array" ref="L4">SUM(TRANSPOSE(INDEX($C$2:$G$17,3+G$27,0))*(G$22:G$26))</f>
        <v>0</v>
      </c>
      <c r="M4" s="370"/>
      <c r="N4" s="41">
        <v>0</v>
      </c>
      <c r="O4" s="41">
        <v>0</v>
      </c>
      <c r="P4" s="41">
        <v>0</v>
      </c>
      <c r="Q4" s="42" cm="1">
        <f t="array" ref="Q4">IFERROR($N$18*INDEX(N2:P17,3-$N$19,1),0)*IF(3-$N$19&lt;=0,0,1)+IFERROR($O$18*INDEX(N2:P17,3-$O$19,2),0)*IF(3-$O$19&lt;=0,0,1)+IFERROR($P$18*INDEX(N2:P17,3-$P$19,3),0)*IF(3-$P$19&lt;=0,0,1)+Q3</f>
        <v>1250</v>
      </c>
    </row>
    <row r="5" spans="1:17" ht="22.5" customHeight="1">
      <c r="A5" s="368"/>
      <c r="B5" s="40" t="s">
        <v>245</v>
      </c>
      <c r="C5" s="41">
        <v>0</v>
      </c>
      <c r="D5" s="41">
        <v>0</v>
      </c>
      <c r="E5" s="41">
        <v>0</v>
      </c>
      <c r="F5" s="41">
        <v>0</v>
      </c>
      <c r="G5" s="41">
        <v>0</v>
      </c>
      <c r="H5" s="42" cm="1">
        <f t="array" ref="H5">SUM(TRANSPOSE(INDEX($C$2:$G$17,4+C$27,0))*(C$22:C$26))</f>
        <v>7500</v>
      </c>
      <c r="I5" s="42" cm="1">
        <f t="array" ref="I5">SUM(TRANSPOSE(INDEX($C$2:$G$17,4+D$27,0))*(D$22:D$26))</f>
        <v>8750</v>
      </c>
      <c r="J5" s="42" cm="1">
        <f t="array" ref="J5">SUM(TRANSPOSE(INDEX($C$2:$G$17,4+E$27,0))*(E$22:E$26))</f>
        <v>6250</v>
      </c>
      <c r="K5" s="42" cm="1">
        <f t="array" ref="K5">SUM(TRANSPOSE(INDEX($C$2:$G$17,4+F$27,0))*(F$22:F$26))</f>
        <v>0</v>
      </c>
      <c r="L5" s="42" cm="1">
        <f t="array" ref="L5">SUM(TRANSPOSE(INDEX($C$2:$G$17,4+G$27,0))*(G$22:G$26))</f>
        <v>0</v>
      </c>
      <c r="M5" s="370"/>
      <c r="N5" s="41">
        <v>0</v>
      </c>
      <c r="O5" s="41">
        <v>0</v>
      </c>
      <c r="P5" s="41">
        <v>0</v>
      </c>
      <c r="Q5" s="42" cm="1">
        <f t="array" ref="Q5">IFERROR($N$18*INDEX(N2:P17,4-$N$19,1),0)*IF(4-$N$19&lt;=0,0,1)+IFERROR($O$18*INDEX(N2:P17,4-$O$19,2),0)*IF(4-$O$19&lt;=0,0,1)+IFERROR($P$18*INDEX(N2:P17,4-$P$19,3),0)*IF(4-$P$19&lt;=0,0,1)+Q4</f>
        <v>1250</v>
      </c>
    </row>
    <row r="6" spans="1:17" ht="22.5" customHeight="1">
      <c r="A6" s="366" t="s">
        <v>80</v>
      </c>
      <c r="B6" s="40" t="s">
        <v>242</v>
      </c>
      <c r="C6" s="41">
        <v>0</v>
      </c>
      <c r="D6" s="41">
        <v>0</v>
      </c>
      <c r="E6" s="41">
        <v>0</v>
      </c>
      <c r="F6" s="41">
        <v>1250</v>
      </c>
      <c r="G6" s="41">
        <v>0</v>
      </c>
      <c r="H6" s="42" cm="1">
        <f t="array" ref="H6">SUM(TRANSPOSE(INDEX($C$2:$G$17,5+C$27,0))*(C$22:C$26))</f>
        <v>0</v>
      </c>
      <c r="I6" s="42" cm="1">
        <f t="array" ref="I6">SUM(TRANSPOSE(INDEX($C$2:$G$17,5+D$27,0))*(D$22:D$26))</f>
        <v>0</v>
      </c>
      <c r="J6" s="42" cm="1">
        <f t="array" ref="J6">SUM(TRANSPOSE(INDEX($C$2:$G$17,5+E$27,0))*(E$22:E$26))</f>
        <v>0</v>
      </c>
      <c r="K6" s="42" cm="1">
        <f t="array" ref="K6">SUM(TRANSPOSE(INDEX($C$2:$G$17,5+F$27,0))*(F$22:F$26))</f>
        <v>6250</v>
      </c>
      <c r="L6" s="42" cm="1">
        <f t="array" ref="L6">SUM(TRANSPOSE(INDEX($C$2:$G$17,5+G$27,0))*(G$22:G$26))</f>
        <v>0</v>
      </c>
      <c r="M6" s="370"/>
      <c r="N6" s="41">
        <v>0</v>
      </c>
      <c r="O6" s="41">
        <v>0</v>
      </c>
      <c r="P6" s="41">
        <v>0</v>
      </c>
      <c r="Q6" s="42" cm="1">
        <f t="array" ref="Q6">IFERROR($N$18*INDEX(N2:P17,5-$N$19,1),0)*IF(5-$N$19&lt;=0,0,1)+IFERROR($O$18*INDEX(N2:P17,5-$O$19,2),0)*IF(5-$O$19&lt;=0,0,1)+IFERROR($P$18*INDEX(N2:P17,5-$P$19,3),0)*IF(5-$P$19&lt;=0,0,1)+Q5</f>
        <v>1250</v>
      </c>
    </row>
    <row r="7" spans="1:17" ht="22.5" customHeight="1">
      <c r="A7" s="367"/>
      <c r="B7" s="40" t="s">
        <v>243</v>
      </c>
      <c r="C7" s="41">
        <v>0</v>
      </c>
      <c r="D7" s="41">
        <v>0</v>
      </c>
      <c r="E7" s="41">
        <v>0</v>
      </c>
      <c r="F7" s="41">
        <v>0</v>
      </c>
      <c r="G7" s="41">
        <v>0</v>
      </c>
      <c r="H7" s="42" cm="1">
        <f t="array" ref="H7">SUM(TRANSPOSE(INDEX($C$2:$G$17,6+C$27,0))*(C$22:C$26))</f>
        <v>7500</v>
      </c>
      <c r="I7" s="42" cm="1">
        <f t="array" ref="I7">SUM(TRANSPOSE(INDEX($C$2:$G$17,6+D$27,0))*(D$22:D$26))</f>
        <v>8750</v>
      </c>
      <c r="J7" s="42" cm="1">
        <f t="array" ref="J7">SUM(TRANSPOSE(INDEX($C$2:$G$17,6+E$27,0))*(E$22:E$26))</f>
        <v>6250</v>
      </c>
      <c r="K7" s="42" cm="1">
        <f t="array" ref="K7">SUM(TRANSPOSE(INDEX($C$2:$G$17,6+F$27,0))*(F$22:F$26))</f>
        <v>0</v>
      </c>
      <c r="L7" s="42" cm="1">
        <f t="array" ref="L7">SUM(TRANSPOSE(INDEX($C$2:$G$17,6+G$27,0))*(G$22:G$26))</f>
        <v>0</v>
      </c>
      <c r="M7" s="370"/>
      <c r="N7" s="41">
        <v>0</v>
      </c>
      <c r="O7" s="41">
        <v>0</v>
      </c>
      <c r="P7" s="41">
        <v>0</v>
      </c>
      <c r="Q7" s="42" cm="1">
        <f t="array" ref="Q7">IFERROR($N$18*INDEX(N2:P17,6-$N$19,1),0)*IF(6-$N$19&lt;=0,0,1)+IFERROR($O$18*INDEX(N2:P17,6-$O$19,2),0)*IF(6-$O$19&lt;=0,0,1)+IFERROR($P$18*INDEX(N2:P17,6-$P$19,3),0)*IF(6-$P$19&lt;=0,0,1)+Q6</f>
        <v>1250</v>
      </c>
    </row>
    <row r="8" spans="1:17" ht="22.5" customHeight="1">
      <c r="A8" s="367"/>
      <c r="B8" s="40" t="s">
        <v>244</v>
      </c>
      <c r="C8" s="41">
        <v>0</v>
      </c>
      <c r="D8" s="41">
        <v>0</v>
      </c>
      <c r="E8" s="41">
        <v>0</v>
      </c>
      <c r="F8" s="41">
        <v>1250</v>
      </c>
      <c r="G8" s="41">
        <v>0</v>
      </c>
      <c r="H8" s="42" cm="1">
        <f t="array" ref="H8">SUM(TRANSPOSE(INDEX($C$2:$G$17,7+C$27,0))*(C$22:C$26))</f>
        <v>0</v>
      </c>
      <c r="I8" s="42" cm="1">
        <f t="array" ref="I8">SUM(TRANSPOSE(INDEX($C$2:$G$17,7+D$27,0))*(D$22:D$26))</f>
        <v>0</v>
      </c>
      <c r="J8" s="42" cm="1">
        <f t="array" ref="J8">SUM(TRANSPOSE(INDEX($C$2:$G$17,7+E$27,0))*(E$22:E$26))</f>
        <v>0</v>
      </c>
      <c r="K8" s="42" cm="1">
        <f t="array" ref="K8">SUM(TRANSPOSE(INDEX($C$2:$G$17,7+F$27,0))*(F$22:F$26))</f>
        <v>0</v>
      </c>
      <c r="L8" s="42" cm="1">
        <f t="array" ref="L8">SUM(TRANSPOSE(INDEX($C$2:$G$17,7+G$27,0))*(G$22:G$26))</f>
        <v>0</v>
      </c>
      <c r="M8" s="370"/>
      <c r="N8" s="41">
        <v>0</v>
      </c>
      <c r="O8" s="41">
        <v>0</v>
      </c>
      <c r="P8" s="41">
        <v>0</v>
      </c>
      <c r="Q8" s="42" cm="1">
        <f t="array" ref="Q8">IFERROR($N$18*INDEX(N2:P17,7-$N$19,1),0)*IF(7-$N$19&lt;=0,0,1)+IFERROR($O$18*INDEX(N2:P17,7-$O$19,2),0)*IF(7-$O$19&lt;=0,0,1)+IFERROR($P$18*INDEX(N2:P17,7-$P$19,3),0)*IF(7-$P$19&lt;=0,0,1)+Q7</f>
        <v>1250</v>
      </c>
    </row>
    <row r="9" spans="1:17" ht="22.5" customHeight="1">
      <c r="A9" s="368"/>
      <c r="B9" s="40" t="s">
        <v>245</v>
      </c>
      <c r="C9" s="41">
        <v>0</v>
      </c>
      <c r="D9" s="41">
        <v>0</v>
      </c>
      <c r="E9" s="41">
        <v>0</v>
      </c>
      <c r="F9" s="41">
        <v>0</v>
      </c>
      <c r="G9" s="41">
        <v>0</v>
      </c>
      <c r="H9" s="42" cm="1">
        <f t="array" ref="H9">SUM(TRANSPOSE(INDEX($C$2:$G$17,8+C$27,0))*(C$22:C$26))</f>
        <v>0</v>
      </c>
      <c r="I9" s="42" cm="1">
        <f t="array" ref="I9">SUM(TRANSPOSE(INDEX($C$2:$G$17,8+D$27,0))*(D$22:D$26))</f>
        <v>0</v>
      </c>
      <c r="J9" s="42" cm="1">
        <f t="array" ref="J9">SUM(TRANSPOSE(INDEX($C$2:$G$17,8+E$27,0))*(E$22:E$26))</f>
        <v>0</v>
      </c>
      <c r="K9" s="42" cm="1">
        <f t="array" ref="K9">SUM(TRANSPOSE(INDEX($C$2:$G$17,8+F$27,0))*(F$22:F$26))</f>
        <v>0</v>
      </c>
      <c r="L9" s="42" cm="1">
        <f t="array" ref="L9">SUM(TRANSPOSE(INDEX($C$2:$G$17,8+G$27,0))*(G$22:G$26))</f>
        <v>0</v>
      </c>
      <c r="M9" s="370"/>
      <c r="N9" s="41">
        <v>0</v>
      </c>
      <c r="O9" s="41">
        <v>0</v>
      </c>
      <c r="P9" s="41">
        <v>0</v>
      </c>
      <c r="Q9" s="42" cm="1">
        <f t="array" ref="Q9">IFERROR($N$18*INDEX(N2:P17,8-$N$19,1),0)*IF(8-$N$19&lt;=0,0,1)+IFERROR($O$18*INDEX(N2:P17,8-$O$19,2),0)*IF(8-$O$19&lt;=0,0,1)+IFERROR($P$18*INDEX(N2:P17,8-$P$19,3),0)*IF(8-$P$19&lt;=0,0,1)+Q8</f>
        <v>1250</v>
      </c>
    </row>
    <row r="10" spans="1:17" ht="22.5" customHeight="1">
      <c r="A10" s="366" t="s">
        <v>81</v>
      </c>
      <c r="B10" s="40" t="s">
        <v>242</v>
      </c>
      <c r="C10" s="41">
        <v>0</v>
      </c>
      <c r="D10" s="41">
        <v>0</v>
      </c>
      <c r="E10" s="41">
        <v>0</v>
      </c>
      <c r="F10" s="41">
        <v>0</v>
      </c>
      <c r="G10" s="41">
        <v>0</v>
      </c>
      <c r="H10" s="42" cm="1">
        <f t="array" ref="H10">SUM(TRANSPOSE(INDEX($C$2:$G$17,9+C$27,0))*(C$22:C$26))</f>
        <v>0</v>
      </c>
      <c r="I10" s="42" cm="1">
        <f t="array" ref="I10">SUM(TRANSPOSE(INDEX($C$2:$G$17,9+D$27,0))*(D$22:D$26))</f>
        <v>0</v>
      </c>
      <c r="J10" s="42" cm="1">
        <f t="array" ref="J10">SUM(TRANSPOSE(INDEX($C$2:$G$17,9+E$27,0))*(E$22:E$26))</f>
        <v>0</v>
      </c>
      <c r="K10" s="42" cm="1">
        <f t="array" ref="K10">SUM(TRANSPOSE(INDEX($C$2:$G$17,9+F$27,0))*(F$22:F$26))</f>
        <v>0</v>
      </c>
      <c r="L10" s="42" cm="1">
        <f t="array" ref="L10">SUM(TRANSPOSE(INDEX($C$2:$G$17,9+G$27,0))*(G$22:G$26))</f>
        <v>0</v>
      </c>
      <c r="M10" s="370"/>
      <c r="N10" s="41">
        <v>0</v>
      </c>
      <c r="O10" s="41">
        <v>0</v>
      </c>
      <c r="P10" s="41">
        <v>0</v>
      </c>
      <c r="Q10" s="42" cm="1">
        <f t="array" ref="Q10">IFERROR($N$18*INDEX(N2:P17,9-$N$19,1),0)*IF(9-$N$19&lt;=0,0,1)+IFERROR($O$18*INDEX(N2:P17,9-$O$19,2),0)*IF(9-$O$19&lt;=0,0,1)+IFERROR($P$18*INDEX(N2:P17,9-$P$19,3),0)*IF(9-$P$19&lt;=0,0,1)+Q9</f>
        <v>1250</v>
      </c>
    </row>
    <row r="11" spans="1:17" ht="22.5" customHeight="1">
      <c r="A11" s="367"/>
      <c r="B11" s="40" t="s">
        <v>243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2" cm="1">
        <f t="array" ref="H11">SUM(TRANSPOSE(INDEX($C$2:$G$17,10+C$27,0))*(C$22:C$26))</f>
        <v>0</v>
      </c>
      <c r="I11" s="42" cm="1">
        <f t="array" ref="I11">SUM(TRANSPOSE(INDEX($C$2:$G$17,10+D$27,0))*(D$22:D$26))</f>
        <v>0</v>
      </c>
      <c r="J11" s="42" cm="1">
        <f t="array" ref="J11">SUM(TRANSPOSE(INDEX($C$2:$G$17,10+E$27,0))*(E$22:E$26))</f>
        <v>0</v>
      </c>
      <c r="K11" s="42" cm="1">
        <f t="array" ref="K11">SUM(TRANSPOSE(INDEX($C$2:$G$17,10+F$27,0))*(F$22:F$26))</f>
        <v>0</v>
      </c>
      <c r="L11" s="42" cm="1">
        <f t="array" ref="L11">SUM(TRANSPOSE(INDEX($C$2:$G$17,10+G$27,0))*(G$22:G$26))</f>
        <v>0</v>
      </c>
      <c r="M11" s="370"/>
      <c r="N11" s="41">
        <v>0</v>
      </c>
      <c r="O11" s="41">
        <v>0</v>
      </c>
      <c r="P11" s="41">
        <v>0</v>
      </c>
      <c r="Q11" s="42" cm="1">
        <f t="array" ref="Q11">IFERROR($N$18*INDEX(N2:P17,10-$N$19,1),0)*IF(10-$N$19&lt;=0,0,1)+IFERROR($O$18*INDEX(N2:P17,10-$O$19,2),0)*IF(10-$O$19&lt;=0,0,1)+IFERROR($P$18*INDEX(N2:P17,10-$P$19,3),0)*IF(10-$P$19&lt;=0,0,1)+Q10</f>
        <v>1250</v>
      </c>
    </row>
    <row r="12" spans="1:17" ht="22.5" customHeight="1">
      <c r="A12" s="367"/>
      <c r="B12" s="40" t="s">
        <v>244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2" cm="1">
        <f t="array" ref="H12">SUM(TRANSPOSE(INDEX($C$2:$G$17,11+C$27,0))*(C$22:C$26))</f>
        <v>0</v>
      </c>
      <c r="I12" s="42" cm="1">
        <f t="array" ref="I12">SUM(TRANSPOSE(INDEX($C$2:$G$17,11+D$27,0))*(D$22:D$26))</f>
        <v>0</v>
      </c>
      <c r="J12" s="42" cm="1">
        <f t="array" ref="J12">SUM(TRANSPOSE(INDEX($C$2:$G$17,11+E$27,0))*(E$22:E$26))</f>
        <v>0</v>
      </c>
      <c r="K12" s="42" cm="1">
        <f t="array" ref="K12">SUM(TRANSPOSE(INDEX($C$2:$G$17,11+F$27,0))*(F$22:F$26))</f>
        <v>0</v>
      </c>
      <c r="L12" s="42" cm="1">
        <f t="array" ref="L12">SUM(TRANSPOSE(INDEX($C$2:$G$17,11+G$27,0))*(G$22:G$26))</f>
        <v>0</v>
      </c>
      <c r="M12" s="370"/>
      <c r="N12" s="41">
        <v>0</v>
      </c>
      <c r="O12" s="41">
        <v>0</v>
      </c>
      <c r="P12" s="41">
        <v>0</v>
      </c>
      <c r="Q12" s="42" cm="1">
        <f t="array" ref="Q12">IFERROR($N$18*INDEX(N2:P17,11-$N$19,1),0)*IF(11-$N$19&lt;=0,0,1)+IFERROR($O$18*INDEX(N2:P17,11-$O$19,2),0)*IF(11-$O$19&lt;=0,0,1)+IFERROR($P$18*INDEX(N2:P17,11-$P$19,3),0)*IF(11-$P$19&lt;=0,0,1)+Q11</f>
        <v>1250</v>
      </c>
    </row>
    <row r="13" spans="1:17" ht="22.5" customHeight="1">
      <c r="A13" s="368"/>
      <c r="B13" s="40" t="s">
        <v>245</v>
      </c>
      <c r="C13" s="41">
        <v>0</v>
      </c>
      <c r="D13" s="41">
        <v>0</v>
      </c>
      <c r="E13" s="41">
        <v>0</v>
      </c>
      <c r="F13" s="41">
        <v>0</v>
      </c>
      <c r="G13" s="41">
        <v>0</v>
      </c>
      <c r="H13" s="42" cm="1">
        <f t="array" ref="H13">SUM(TRANSPOSE(INDEX($C$2:$G$17,12+C$27,0))*(C$22:C$26))</f>
        <v>0</v>
      </c>
      <c r="I13" s="42" cm="1">
        <f t="array" ref="I13">SUM(TRANSPOSE(INDEX($C$2:$G$17,12+D$27,0))*(D$22:D$26))</f>
        <v>0</v>
      </c>
      <c r="J13" s="42" cm="1">
        <f t="array" ref="J13">SUM(TRANSPOSE(INDEX($C$2:$G$17,12+E$27,0))*(E$22:E$26))</f>
        <v>0</v>
      </c>
      <c r="K13" s="42" cm="1">
        <f t="array" ref="K13">SUM(TRANSPOSE(INDEX($C$2:$G$17,12+F$27,0))*(F$22:F$26))</f>
        <v>0</v>
      </c>
      <c r="L13" s="42" cm="1">
        <f t="array" ref="L13">SUM(TRANSPOSE(INDEX($C$2:$G$17,12+G$27,0))*(G$22:G$26))</f>
        <v>0</v>
      </c>
      <c r="M13" s="370"/>
      <c r="N13" s="41">
        <v>0</v>
      </c>
      <c r="O13" s="41">
        <v>0</v>
      </c>
      <c r="P13" s="41">
        <v>0</v>
      </c>
      <c r="Q13" s="42" cm="1">
        <f t="array" ref="Q13">IFERROR($N$18*INDEX(N2:P17,12-$N$19,1),0)*IF(12-$N$19&lt;=0,0,1)+IFERROR($O$18*INDEX(N2:P17,12-$O$19,2),0)*IF(12-$O$19&lt;=0,0,1)+IFERROR($P$18*INDEX(N2:P17,12-$P$19,3),0)*IF(12-$P$19&lt;=0,0,1)+Q12</f>
        <v>1250</v>
      </c>
    </row>
    <row r="14" spans="1:17" ht="22.5" customHeight="1">
      <c r="A14" s="366" t="s">
        <v>82</v>
      </c>
      <c r="B14" s="40" t="s">
        <v>242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2" cm="1">
        <f t="array" ref="H14">SUM(TRANSPOSE(INDEX($C$2:$G$17,13+C$27,0))*(C$22:C$26))</f>
        <v>0</v>
      </c>
      <c r="I14" s="42" cm="1">
        <f t="array" ref="I14">SUM(TRANSPOSE(INDEX($C$2:$G$17,13+D$27,0))*(D$22:D$26))</f>
        <v>0</v>
      </c>
      <c r="J14" s="42" cm="1">
        <f t="array" ref="J14">SUM(TRANSPOSE(INDEX($C$2:$G$17,13+E$27,0))*(E$22:E$26))</f>
        <v>0</v>
      </c>
      <c r="K14" s="42" cm="1">
        <f t="array" ref="K14">SUM(TRANSPOSE(INDEX($C$2:$G$17,13+F$27,0))*(F$22:F$26))</f>
        <v>0</v>
      </c>
      <c r="L14" s="42" cm="1">
        <f t="array" ref="L14">SUM(TRANSPOSE(INDEX($C$2:$G$17,13+G$27,0))*(G$22:G$26))</f>
        <v>0</v>
      </c>
      <c r="M14" s="370"/>
      <c r="N14" s="41">
        <v>0</v>
      </c>
      <c r="O14" s="41">
        <v>0</v>
      </c>
      <c r="P14" s="41">
        <v>0</v>
      </c>
      <c r="Q14" s="42" cm="1">
        <f t="array" ref="Q14">IFERROR($N$18*INDEX(N2:P17,13-$N$19,1),0)*IF(13-$N$19&lt;=0,0,1)+IFERROR($O$18*INDEX(N2:P17,13-$O$19,2),0)*IF(13-$O$19&lt;=0,0,1)+IFERROR($P$18*INDEX(N2:P17,13-$P$19,3),0)*IF(13-$P$19&lt;=0,0,1)+Q13</f>
        <v>1250</v>
      </c>
    </row>
    <row r="15" spans="1:17" ht="22.5" customHeight="1">
      <c r="A15" s="367"/>
      <c r="B15" s="40" t="s">
        <v>243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2" cm="1">
        <f t="array" ref="H15">SUM(TRANSPOSE(INDEX($C$2:$G$17,14+C$27,0))*(C$22:C$26))</f>
        <v>0</v>
      </c>
      <c r="I15" s="42" cm="1">
        <f t="array" ref="I15">SUM(TRANSPOSE(INDEX($C$2:$G$17,14+D$27,0))*(D$22:D$26))</f>
        <v>0</v>
      </c>
      <c r="J15" s="42" cm="1">
        <f t="array" ref="J15">SUM(TRANSPOSE(INDEX($C$2:$G$17,14+E$27,0))*(E$22:E$26))</f>
        <v>0</v>
      </c>
      <c r="K15" s="42" cm="1">
        <f t="array" ref="K15">SUM(TRANSPOSE(INDEX($C$2:$G$17,14+F$27,0))*(F$22:F$26))</f>
        <v>0</v>
      </c>
      <c r="L15" s="42" cm="1">
        <f t="array" ref="L15">SUM(TRANSPOSE(INDEX($C$2:$G$17,14+G$27,0))*(G$22:G$26))</f>
        <v>0</v>
      </c>
      <c r="M15" s="370"/>
      <c r="N15" s="41">
        <v>0</v>
      </c>
      <c r="O15" s="41">
        <v>0</v>
      </c>
      <c r="P15" s="41">
        <v>0</v>
      </c>
      <c r="Q15" s="42" cm="1">
        <f t="array" ref="Q15">IFERROR($N$18*INDEX(N2:P17,14-$N$19,1),0)*IF(14-$N$19&lt;=0,0,1)+IFERROR($O$18*INDEX(N2:P17,14-$O$19,2),0)*IF(14-$O$19&lt;=0,0,1)+IFERROR($P$18*INDEX(N2:P17,14-$P$19,3),0)*IF(14-$P$19&lt;=0,0,1)+Q14</f>
        <v>1250</v>
      </c>
    </row>
    <row r="16" spans="1:17" ht="22.5" customHeight="1">
      <c r="A16" s="367"/>
      <c r="B16" s="40" t="s">
        <v>244</v>
      </c>
      <c r="C16" s="41">
        <v>0</v>
      </c>
      <c r="D16" s="41">
        <v>0</v>
      </c>
      <c r="E16" s="41">
        <v>0</v>
      </c>
      <c r="F16" s="41">
        <v>0</v>
      </c>
      <c r="G16" s="41">
        <v>0</v>
      </c>
      <c r="H16" s="42" cm="1">
        <f t="array" ref="H16">SUM(TRANSPOSE(INDEX($C$2:$G$17,15+C$27,0))*(C$22:C$26))</f>
        <v>0</v>
      </c>
      <c r="I16" s="42" cm="1">
        <f t="array" ref="I16">SUM(TRANSPOSE(INDEX($C$2:$G$17,15+D$27,0))*(D$22:D$26))</f>
        <v>0</v>
      </c>
      <c r="J16" s="42" cm="1">
        <f t="array" ref="J16">SUM(TRANSPOSE(INDEX($C$2:$G$17,15+E$27,0))*(E$22:E$26))</f>
        <v>0</v>
      </c>
      <c r="K16" s="42" t="e" cm="1">
        <f t="array" ref="K16">SUM(TRANSPOSE(INDEX($C$2:$G$17,15+F$27,0))*(F$22:F$26))</f>
        <v>#REF!</v>
      </c>
      <c r="L16" s="42" cm="1">
        <f t="array" ref="L16">SUM(TRANSPOSE(INDEX($C$2:$G$17,15+G$27,0))*(G$22:G$26))</f>
        <v>0</v>
      </c>
      <c r="M16" s="370"/>
      <c r="N16" s="41">
        <v>0</v>
      </c>
      <c r="O16" s="41">
        <v>0</v>
      </c>
      <c r="P16" s="41">
        <v>0</v>
      </c>
      <c r="Q16" s="42" cm="1">
        <f t="array" ref="Q16">IFERROR($N$18*INDEX(N2:P17,15-$N$19,1),0)*IF(15-$N$19&lt;=0,0,1)+IFERROR($O$18*INDEX(N2:P17,15-$O$19,2),0)*IF(15-$O$19&lt;=0,0,1)+IFERROR($P$18*INDEX(N2:P17,15-$P$19,3),0)*IF(15-$P$19&lt;=0,0,1)+Q15</f>
        <v>1250</v>
      </c>
    </row>
    <row r="17" spans="1:17" ht="22.5" customHeight="1">
      <c r="A17" s="368"/>
      <c r="B17" s="40" t="s">
        <v>245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2" t="e">
        <f t="array" ref="H17">SUM(TRANSPOSE(INDEX($C$2:$G$17,16+C$27,0))*(C$22:C$26))</f>
        <v>#REF!</v>
      </c>
      <c r="I17" s="42" t="e">
        <f t="array" ref="I17">SUM(TRANSPOSE(INDEX($C$2:$G$17,16+D$27,0))*(D$22:D$26))</f>
        <v>#REF!</v>
      </c>
      <c r="J17" s="42" t="e">
        <f t="array" ref="J17">SUM(TRANSPOSE(INDEX($C$2:$G$17,16+E$27,0))*(E$22:E$26))</f>
        <v>#REF!</v>
      </c>
      <c r="K17" s="42" t="e" cm="1">
        <f t="array" ref="K17">SUM(TRANSPOSE(INDEX($C$2:$G$17,16+F$27,0))*(F$22:F$26))</f>
        <v>#REF!</v>
      </c>
      <c r="L17" s="42" t="e">
        <f t="array" ref="L17">SUM(TRANSPOSE(INDEX($C$2:$G$17,16+G$27,0))*(G$22:G$26))</f>
        <v>#REF!</v>
      </c>
      <c r="M17" s="370"/>
      <c r="N17" s="41">
        <v>0</v>
      </c>
      <c r="O17" s="41">
        <v>0</v>
      </c>
      <c r="P17" s="41">
        <v>0</v>
      </c>
      <c r="Q17" s="42" cm="1">
        <f t="array" ref="Q17">IFERROR($N$18*INDEX(N2:P17,16-$N$19,1),0)*IF(16-$N$19&lt;=0,0,1)+IFERROR($O$18*INDEX(N2:P17,16-$O$19,2),0)*IF(16-$O$19&lt;=0,0,1)+IFERROR($P$18*INDEX(N2:P17,16-$P$19,3),0)*IF(16-$P$19&lt;=0,0,1)+Q16</f>
        <v>1250</v>
      </c>
    </row>
    <row r="18" spans="1:17" ht="22.5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2" t="s">
        <v>246</v>
      </c>
      <c r="N18" s="42">
        <f>规则表!$P$17</f>
        <v>125</v>
      </c>
      <c r="O18" s="42">
        <f>规则表!$P$18</f>
        <v>78</v>
      </c>
      <c r="P18" s="42">
        <f>规则表!$P$19</f>
        <v>97</v>
      </c>
      <c r="Q18" s="42">
        <f>SUM(Q2:Q17)</f>
        <v>20000</v>
      </c>
    </row>
    <row r="19" spans="1:17" ht="22.5" customHeight="1">
      <c r="A19" s="43"/>
      <c r="I19" s="43"/>
      <c r="J19" s="43"/>
      <c r="K19" s="43"/>
      <c r="L19" s="43"/>
      <c r="M19" s="42" t="s">
        <v>247</v>
      </c>
      <c r="N19" s="42">
        <f>规则表!$C$17</f>
        <v>0</v>
      </c>
      <c r="O19" s="42">
        <f>规则表!$C$18</f>
        <v>1</v>
      </c>
      <c r="P19" s="42">
        <f>规则表!$C$19</f>
        <v>2</v>
      </c>
      <c r="Q19" s="42">
        <f>SUM(N2:P17)</f>
        <v>10</v>
      </c>
    </row>
    <row r="20" spans="1:17" ht="22.5" customHeight="1">
      <c r="A20" s="43"/>
      <c r="I20" s="43"/>
      <c r="J20" s="43"/>
      <c r="K20" s="43"/>
      <c r="L20" s="43"/>
      <c r="M20" s="43"/>
      <c r="N20" s="43"/>
      <c r="O20" s="43"/>
      <c r="P20" s="43"/>
      <c r="Q20" s="43"/>
    </row>
    <row r="21" spans="1:17" ht="22.5" hidden="1" customHeight="1">
      <c r="A21" s="43"/>
      <c r="B21" s="44" t="str">
        <f>材料表!A46</f>
        <v>产品编号</v>
      </c>
      <c r="C21" s="44" t="str">
        <f>材料表!C46</f>
        <v>R1</v>
      </c>
      <c r="D21" s="44" t="str">
        <f>材料表!D46</f>
        <v>R2</v>
      </c>
      <c r="E21" s="44" t="str">
        <f>材料表!E46</f>
        <v>R3</v>
      </c>
      <c r="F21" s="44" t="str">
        <f>材料表!F46</f>
        <v>R4</v>
      </c>
      <c r="G21" s="44" t="str">
        <f>材料表!G46</f>
        <v>R5</v>
      </c>
      <c r="H21" s="44" t="str">
        <f>材料表!H46</f>
        <v>材料总费用</v>
      </c>
      <c r="I21" s="43"/>
      <c r="J21" s="43"/>
      <c r="K21" s="43"/>
      <c r="L21" s="43"/>
      <c r="M21" s="43"/>
      <c r="N21" s="43"/>
      <c r="O21" s="43"/>
      <c r="P21" s="43"/>
      <c r="Q21" s="43"/>
    </row>
    <row r="22" spans="1:17" ht="22.5" hidden="1" customHeight="1">
      <c r="A22" s="43"/>
      <c r="B22" s="44" t="str">
        <f>材料表!A47</f>
        <v>P1</v>
      </c>
      <c r="C22" s="44">
        <f>材料表!C47</f>
        <v>2</v>
      </c>
      <c r="D22" s="44">
        <f>材料表!D47</f>
        <v>2</v>
      </c>
      <c r="E22" s="44">
        <f>材料表!E47</f>
        <v>1</v>
      </c>
      <c r="F22" s="44">
        <f>材料表!F47</f>
        <v>0</v>
      </c>
      <c r="G22" s="44">
        <f>材料表!G47</f>
        <v>0</v>
      </c>
      <c r="H22" s="44">
        <f>材料表!H47</f>
        <v>500</v>
      </c>
      <c r="I22" s="43"/>
      <c r="J22" s="43"/>
      <c r="K22" s="43"/>
      <c r="L22" s="43"/>
      <c r="M22" s="43"/>
      <c r="N22" s="43"/>
      <c r="O22" s="43"/>
      <c r="P22" s="43"/>
      <c r="Q22" s="43"/>
    </row>
    <row r="23" spans="1:17" ht="22.5" hidden="1" customHeight="1">
      <c r="A23" s="43"/>
      <c r="B23" s="44" t="str">
        <f>材料表!A48</f>
        <v>P2</v>
      </c>
      <c r="C23" s="44">
        <f>材料表!C48</f>
        <v>2</v>
      </c>
      <c r="D23" s="44">
        <f>材料表!D48</f>
        <v>3</v>
      </c>
      <c r="E23" s="44">
        <f>材料表!E48</f>
        <v>2</v>
      </c>
      <c r="F23" s="44">
        <f>材料表!F48</f>
        <v>2</v>
      </c>
      <c r="G23" s="44">
        <f>材料表!G48</f>
        <v>0</v>
      </c>
      <c r="H23" s="44">
        <f>材料表!H48</f>
        <v>900</v>
      </c>
      <c r="I23" s="43"/>
      <c r="J23" s="43"/>
      <c r="K23" s="43"/>
      <c r="L23" s="43"/>
      <c r="M23" s="43"/>
      <c r="N23" s="43"/>
      <c r="O23" s="43"/>
      <c r="P23" s="43"/>
      <c r="Q23" s="43"/>
    </row>
    <row r="24" spans="1:17" ht="22.5" hidden="1" customHeight="1">
      <c r="A24" s="43"/>
      <c r="B24" s="44" t="str">
        <f>材料表!A49</f>
        <v>P3</v>
      </c>
      <c r="C24" s="44">
        <f>材料表!C49</f>
        <v>5</v>
      </c>
      <c r="D24" s="44">
        <f>材料表!D49</f>
        <v>3</v>
      </c>
      <c r="E24" s="44">
        <f>材料表!E49</f>
        <v>3</v>
      </c>
      <c r="F24" s="44">
        <f>材料表!F49</f>
        <v>4</v>
      </c>
      <c r="G24" s="44">
        <f>材料表!G49</f>
        <v>0</v>
      </c>
      <c r="H24" s="44">
        <f>材料表!H49</f>
        <v>1500</v>
      </c>
      <c r="I24" s="43"/>
      <c r="J24" s="43"/>
      <c r="K24" s="43"/>
      <c r="L24" s="43"/>
      <c r="M24" s="43"/>
      <c r="N24" s="43"/>
      <c r="O24" s="43"/>
      <c r="P24" s="43"/>
      <c r="Q24" s="43"/>
    </row>
    <row r="25" spans="1:17" ht="22.5" hidden="1" customHeight="1">
      <c r="A25" s="43"/>
      <c r="B25" s="44" t="str">
        <f>材料表!A50</f>
        <v>P4</v>
      </c>
      <c r="C25" s="44">
        <f>材料表!C50</f>
        <v>6</v>
      </c>
      <c r="D25" s="44">
        <f>材料表!D50</f>
        <v>7</v>
      </c>
      <c r="E25" s="44">
        <f>材料表!E50</f>
        <v>5</v>
      </c>
      <c r="F25" s="44">
        <f>材料表!F50</f>
        <v>5</v>
      </c>
      <c r="G25" s="44">
        <f>材料表!G50</f>
        <v>0</v>
      </c>
      <c r="H25" s="44">
        <f>材料表!H50</f>
        <v>2300</v>
      </c>
      <c r="I25" s="43"/>
      <c r="J25" s="43"/>
      <c r="K25" s="43"/>
      <c r="L25" s="43"/>
      <c r="M25" s="43"/>
      <c r="N25" s="43"/>
      <c r="O25" s="43"/>
      <c r="P25" s="43"/>
      <c r="Q25" s="43"/>
    </row>
    <row r="26" spans="1:17" ht="22.5" hidden="1" customHeight="1">
      <c r="A26" s="43"/>
      <c r="B26" s="44">
        <f>材料表!A51</f>
        <v>0</v>
      </c>
      <c r="C26" s="44">
        <f>材料表!C51</f>
        <v>0</v>
      </c>
      <c r="D26" s="44">
        <f>材料表!D51</f>
        <v>0</v>
      </c>
      <c r="E26" s="44">
        <f>材料表!E51</f>
        <v>0</v>
      </c>
      <c r="F26" s="44">
        <f>材料表!F51</f>
        <v>0</v>
      </c>
      <c r="G26" s="44">
        <f>材料表!G51</f>
        <v>0</v>
      </c>
      <c r="H26" s="44">
        <f>材料表!H51</f>
        <v>0</v>
      </c>
      <c r="I26" s="43"/>
      <c r="J26" s="43"/>
      <c r="K26" s="43"/>
      <c r="L26" s="43"/>
      <c r="M26" s="43"/>
      <c r="N26" s="43"/>
      <c r="O26" s="43"/>
      <c r="P26" s="43"/>
      <c r="Q26" s="43"/>
    </row>
    <row r="27" spans="1:17" ht="16.5" hidden="1">
      <c r="B27" s="44" t="s">
        <v>248</v>
      </c>
      <c r="C27" s="45">
        <f>材料表!C52</f>
        <v>1</v>
      </c>
      <c r="D27" s="45">
        <f>材料表!D52</f>
        <v>1</v>
      </c>
      <c r="E27" s="45">
        <f>材料表!E52</f>
        <v>1</v>
      </c>
      <c r="F27" s="45">
        <f>材料表!F52</f>
        <v>2</v>
      </c>
      <c r="G27" s="45">
        <f>材料表!G52</f>
        <v>1</v>
      </c>
      <c r="H27" s="43"/>
    </row>
    <row r="28" spans="1:17" ht="16.5" hidden="1">
      <c r="B28" s="44" t="str">
        <f>材料表!B54</f>
        <v>材料价格</v>
      </c>
      <c r="C28" s="44">
        <f>材料表!C54</f>
        <v>100</v>
      </c>
      <c r="D28" s="44">
        <f>材料表!D54</f>
        <v>100</v>
      </c>
      <c r="E28" s="44">
        <f>材料表!E54</f>
        <v>100</v>
      </c>
      <c r="F28" s="44">
        <f>材料表!F54</f>
        <v>100</v>
      </c>
      <c r="G28" s="44">
        <f>材料表!G54</f>
        <v>0</v>
      </c>
      <c r="H28" s="43"/>
    </row>
  </sheetData>
  <sheetProtection formatCells="0" formatColumns="0" formatRows="0" insertColumns="0" insertRows="0" insertHyperlinks="0" deleteColumns="0" deleteRows="0" sort="0" autoFilter="0" pivotTables="0"/>
  <mergeCells count="5">
    <mergeCell ref="A2:A5"/>
    <mergeCell ref="A6:A9"/>
    <mergeCell ref="A10:A13"/>
    <mergeCell ref="A14:A17"/>
    <mergeCell ref="M1:M17"/>
  </mergeCells>
  <phoneticPr fontId="33" type="noConversion"/>
  <conditionalFormatting sqref="Q19">
    <cfRule type="cellIs" dxfId="2" priority="1" operator="greaterThan">
      <formula>16</formula>
    </cfRule>
    <cfRule type="cellIs" dxfId="1" priority="2" operator="greaterThan">
      <formula>16</formula>
    </cfRule>
    <cfRule type="cellIs" dxfId="0" priority="3" operator="greaterThan">
      <formula>16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60"/>
  <sheetViews>
    <sheetView topLeftCell="A4" zoomScale="115" zoomScaleNormal="115" workbookViewId="0">
      <selection activeCell="F39" sqref="F39"/>
    </sheetView>
  </sheetViews>
  <sheetFormatPr defaultColWidth="8.75" defaultRowHeight="13.5"/>
  <cols>
    <col min="1" max="11" width="11.125" style="31" customWidth="1"/>
    <col min="12" max="12" width="8.125" customWidth="1"/>
    <col min="13" max="13" width="19.375" customWidth="1"/>
    <col min="14" max="14" width="12.875"/>
    <col min="15" max="15" width="11.75"/>
    <col min="16" max="16" width="12.875"/>
  </cols>
  <sheetData>
    <row r="1" spans="1:13">
      <c r="A1" s="32" t="s">
        <v>249</v>
      </c>
      <c r="B1" s="32" t="s">
        <v>229</v>
      </c>
      <c r="C1" s="32" t="s">
        <v>250</v>
      </c>
      <c r="D1" s="32" t="s">
        <v>230</v>
      </c>
      <c r="E1" s="32" t="s">
        <v>155</v>
      </c>
      <c r="F1" s="32" t="s">
        <v>231</v>
      </c>
      <c r="G1" s="32" t="s">
        <v>232</v>
      </c>
      <c r="H1" s="32" t="s">
        <v>233</v>
      </c>
      <c r="I1" s="32" t="s">
        <v>234</v>
      </c>
      <c r="J1" s="32" t="s">
        <v>235</v>
      </c>
      <c r="K1" s="32" t="s">
        <v>236</v>
      </c>
      <c r="L1" t="s">
        <v>251</v>
      </c>
      <c r="M1" t="s">
        <v>237</v>
      </c>
    </row>
    <row r="2" spans="1:13">
      <c r="A2" s="33">
        <v>1</v>
      </c>
      <c r="B2" s="33">
        <v>2</v>
      </c>
      <c r="C2" s="33">
        <v>1</v>
      </c>
      <c r="D2" s="33" t="s">
        <v>252</v>
      </c>
      <c r="E2" s="33"/>
      <c r="F2" s="33" t="s">
        <v>253</v>
      </c>
      <c r="G2" s="33">
        <v>4800</v>
      </c>
      <c r="H2" s="33">
        <v>2600</v>
      </c>
      <c r="I2" s="33">
        <v>4</v>
      </c>
      <c r="J2" s="33">
        <v>2</v>
      </c>
      <c r="K2" s="33" t="s">
        <v>254</v>
      </c>
      <c r="L2">
        <f>(A2-1)*4+B2</f>
        <v>2</v>
      </c>
      <c r="M2">
        <f>G2*(1-VLOOKUP(J2,规则表!$A$10:$B$14,2,FALSE))</f>
        <v>4608</v>
      </c>
    </row>
    <row r="3" spans="1:13">
      <c r="A3" s="33">
        <v>1</v>
      </c>
      <c r="B3" s="33">
        <v>2</v>
      </c>
      <c r="C3" s="33">
        <v>2</v>
      </c>
      <c r="D3" s="33" t="s">
        <v>252</v>
      </c>
      <c r="E3" s="33" t="s">
        <v>188</v>
      </c>
      <c r="F3" s="33" t="s">
        <v>255</v>
      </c>
      <c r="G3" s="33">
        <v>5000</v>
      </c>
      <c r="H3" s="33">
        <v>2400</v>
      </c>
      <c r="I3" s="33">
        <v>4</v>
      </c>
      <c r="J3" s="33">
        <v>2</v>
      </c>
      <c r="L3">
        <f t="shared" ref="L3:L47" si="0">(A3-1)*4+B3</f>
        <v>2</v>
      </c>
      <c r="M3">
        <f>G3*(1-VLOOKUP(J3,规则表!$A$10:$B$14,2,FALSE))</f>
        <v>4800</v>
      </c>
    </row>
    <row r="4" spans="1:13">
      <c r="A4" s="33">
        <v>1</v>
      </c>
      <c r="B4" s="33">
        <v>2</v>
      </c>
      <c r="C4" s="33">
        <v>3</v>
      </c>
      <c r="D4" s="33" t="s">
        <v>252</v>
      </c>
      <c r="E4" s="33" t="s">
        <v>188</v>
      </c>
      <c r="F4" s="33" t="s">
        <v>256</v>
      </c>
      <c r="G4" s="33">
        <v>5100</v>
      </c>
      <c r="H4" s="33">
        <v>1800</v>
      </c>
      <c r="I4" s="33">
        <v>4</v>
      </c>
      <c r="J4" s="33">
        <v>2</v>
      </c>
      <c r="K4" s="33"/>
      <c r="L4" s="34">
        <f t="shared" si="0"/>
        <v>2</v>
      </c>
      <c r="M4" s="34">
        <f>G4*(1-VLOOKUP(J4,规则表!$A$10:$B$14,2,FALSE))</f>
        <v>4896</v>
      </c>
    </row>
    <row r="5" spans="1:13">
      <c r="A5" s="33">
        <v>1</v>
      </c>
      <c r="B5" s="33">
        <v>2</v>
      </c>
      <c r="C5" s="33">
        <v>4</v>
      </c>
      <c r="D5" s="33" t="s">
        <v>252</v>
      </c>
      <c r="E5" s="33" t="s">
        <v>189</v>
      </c>
      <c r="F5" s="33" t="s">
        <v>255</v>
      </c>
      <c r="G5" s="33">
        <v>8100</v>
      </c>
      <c r="H5" s="33">
        <v>2400</v>
      </c>
      <c r="I5" s="33">
        <v>4</v>
      </c>
      <c r="J5" s="33">
        <v>1</v>
      </c>
      <c r="K5" s="33"/>
      <c r="L5">
        <f t="shared" si="0"/>
        <v>2</v>
      </c>
      <c r="M5">
        <f>G5*(1-VLOOKUP(J5,规则表!$A$10:$B$14,2,FALSE))</f>
        <v>7938</v>
      </c>
    </row>
    <row r="6" spans="1:13">
      <c r="A6" s="33">
        <v>1</v>
      </c>
      <c r="B6" s="33">
        <v>2</v>
      </c>
      <c r="C6" s="33">
        <v>5</v>
      </c>
      <c r="D6" s="33" t="s">
        <v>252</v>
      </c>
      <c r="E6" s="33" t="s">
        <v>189</v>
      </c>
      <c r="F6" s="33" t="s">
        <v>256</v>
      </c>
      <c r="G6" s="33">
        <v>8300</v>
      </c>
      <c r="H6" s="33">
        <v>3000</v>
      </c>
      <c r="I6" s="33">
        <v>4</v>
      </c>
      <c r="J6" s="33">
        <v>2</v>
      </c>
      <c r="K6" s="33"/>
      <c r="L6" s="35">
        <f t="shared" si="0"/>
        <v>2</v>
      </c>
      <c r="M6" s="35">
        <f>G6*(1-VLOOKUP(J6,规则表!$A$10:$B$14,2,FALSE))</f>
        <v>7968</v>
      </c>
    </row>
    <row r="7" spans="1:13">
      <c r="A7" s="33">
        <v>1</v>
      </c>
      <c r="B7" s="33">
        <v>3</v>
      </c>
      <c r="C7" s="33">
        <v>6</v>
      </c>
      <c r="D7" s="33" t="s">
        <v>257</v>
      </c>
      <c r="E7" s="33" t="s">
        <v>188</v>
      </c>
      <c r="F7" s="33" t="s">
        <v>253</v>
      </c>
      <c r="G7" s="33">
        <v>4200</v>
      </c>
      <c r="H7" s="33">
        <v>3500</v>
      </c>
      <c r="I7" s="33">
        <v>4</v>
      </c>
      <c r="J7" s="33">
        <v>2</v>
      </c>
      <c r="K7" s="33" t="s">
        <v>258</v>
      </c>
      <c r="L7">
        <f t="shared" si="0"/>
        <v>3</v>
      </c>
      <c r="M7">
        <f>G7*(1-VLOOKUP(J7,规则表!$A$10:$B$14,2,FALSE))</f>
        <v>4032</v>
      </c>
    </row>
    <row r="8" spans="1:13">
      <c r="A8" s="33">
        <v>1</v>
      </c>
      <c r="B8" s="33">
        <v>3</v>
      </c>
      <c r="C8" s="33">
        <v>7</v>
      </c>
      <c r="D8" s="33" t="s">
        <v>257</v>
      </c>
      <c r="E8" s="33" t="s">
        <v>188</v>
      </c>
      <c r="F8" s="33" t="s">
        <v>255</v>
      </c>
      <c r="G8" s="33">
        <v>4300</v>
      </c>
      <c r="H8" s="33">
        <v>3000</v>
      </c>
      <c r="I8" s="33">
        <v>4</v>
      </c>
      <c r="J8" s="33">
        <v>2</v>
      </c>
      <c r="K8" s="33" t="s">
        <v>258</v>
      </c>
      <c r="L8">
        <f t="shared" si="0"/>
        <v>3</v>
      </c>
      <c r="M8">
        <f>G8*(1-VLOOKUP(J8,规则表!$A$10:$B$14,2,FALSE))</f>
        <v>4128</v>
      </c>
    </row>
    <row r="9" spans="1:13">
      <c r="A9" s="33">
        <v>1</v>
      </c>
      <c r="B9" s="33">
        <v>3</v>
      </c>
      <c r="C9" s="33">
        <v>8</v>
      </c>
      <c r="D9" s="33" t="s">
        <v>257</v>
      </c>
      <c r="E9" s="33" t="s">
        <v>189</v>
      </c>
      <c r="F9" s="33" t="s">
        <v>253</v>
      </c>
      <c r="G9" s="33">
        <v>7500</v>
      </c>
      <c r="H9" s="33">
        <v>3500</v>
      </c>
      <c r="I9" s="33">
        <v>4</v>
      </c>
      <c r="J9" s="33">
        <v>2</v>
      </c>
      <c r="K9" s="33"/>
      <c r="L9">
        <f t="shared" si="0"/>
        <v>3</v>
      </c>
      <c r="M9">
        <f>G9*(1-VLOOKUP(J9,规则表!$A$10:$B$14,2,FALSE))</f>
        <v>7200</v>
      </c>
    </row>
    <row r="10" spans="1:13">
      <c r="A10" s="33">
        <v>1</v>
      </c>
      <c r="B10" s="33">
        <v>3</v>
      </c>
      <c r="C10" s="33">
        <v>9</v>
      </c>
      <c r="D10" s="33" t="s">
        <v>257</v>
      </c>
      <c r="E10" s="33" t="s">
        <v>189</v>
      </c>
      <c r="F10" s="33" t="s">
        <v>255</v>
      </c>
      <c r="G10" s="33">
        <v>7650</v>
      </c>
      <c r="H10" s="33">
        <v>3000</v>
      </c>
      <c r="I10" s="33">
        <v>4</v>
      </c>
      <c r="J10" s="33">
        <v>1</v>
      </c>
      <c r="K10" s="33" t="s">
        <v>258</v>
      </c>
      <c r="L10">
        <f t="shared" si="0"/>
        <v>3</v>
      </c>
      <c r="M10">
        <f>G10*(1-VLOOKUP(J10,规则表!$A$10:$B$14,2,FALSE))</f>
        <v>7497</v>
      </c>
    </row>
    <row r="11" spans="1:13">
      <c r="A11" s="33">
        <v>2</v>
      </c>
      <c r="B11" s="33">
        <v>1</v>
      </c>
      <c r="C11" s="33">
        <v>10</v>
      </c>
      <c r="D11" s="33" t="s">
        <v>252</v>
      </c>
      <c r="E11" s="33" t="s">
        <v>188</v>
      </c>
      <c r="F11" s="33" t="s">
        <v>253</v>
      </c>
      <c r="G11" s="33">
        <v>4600</v>
      </c>
      <c r="H11" s="33">
        <v>1460</v>
      </c>
      <c r="I11" s="33">
        <v>4</v>
      </c>
      <c r="J11" s="33">
        <v>2</v>
      </c>
      <c r="K11" s="33" t="s">
        <v>258</v>
      </c>
      <c r="L11">
        <f t="shared" si="0"/>
        <v>5</v>
      </c>
      <c r="M11">
        <f>G11*(1-VLOOKUP(J11,规则表!$A$10:$B$14,2,FALSE))</f>
        <v>4416</v>
      </c>
    </row>
    <row r="12" spans="1:13">
      <c r="A12" s="33">
        <v>2</v>
      </c>
      <c r="B12" s="33">
        <v>1</v>
      </c>
      <c r="C12" s="33">
        <v>11</v>
      </c>
      <c r="D12" s="33" t="s">
        <v>252</v>
      </c>
      <c r="E12" s="33" t="s">
        <v>188</v>
      </c>
      <c r="F12" s="33" t="s">
        <v>255</v>
      </c>
      <c r="G12" s="33">
        <v>5100</v>
      </c>
      <c r="H12" s="33">
        <v>1640</v>
      </c>
      <c r="I12" s="33">
        <v>3</v>
      </c>
      <c r="J12" s="33">
        <v>1</v>
      </c>
      <c r="K12" s="33"/>
      <c r="L12">
        <f t="shared" si="0"/>
        <v>5</v>
      </c>
      <c r="M12">
        <f>G12*(1-VLOOKUP(J12,规则表!$A$10:$B$14,2,FALSE))</f>
        <v>4998</v>
      </c>
    </row>
    <row r="13" spans="1:13">
      <c r="A13" s="33">
        <v>2</v>
      </c>
      <c r="B13" s="33">
        <v>1</v>
      </c>
      <c r="C13" s="33">
        <v>12</v>
      </c>
      <c r="D13" s="33" t="s">
        <v>252</v>
      </c>
      <c r="E13" s="33" t="s">
        <v>189</v>
      </c>
      <c r="F13" s="33" t="s">
        <v>255</v>
      </c>
      <c r="G13" s="33">
        <v>7885</v>
      </c>
      <c r="H13" s="33">
        <v>1800</v>
      </c>
      <c r="I13" s="33">
        <v>2</v>
      </c>
      <c r="J13" s="33">
        <v>1</v>
      </c>
      <c r="K13" s="33" t="s">
        <v>258</v>
      </c>
      <c r="L13">
        <f t="shared" si="0"/>
        <v>5</v>
      </c>
      <c r="M13">
        <f>G13*(1-VLOOKUP(J13,规则表!$A$10:$B$14,2,FALSE))</f>
        <v>7727.3</v>
      </c>
    </row>
    <row r="14" spans="1:13">
      <c r="A14" s="33">
        <v>2</v>
      </c>
      <c r="B14" s="33">
        <v>1</v>
      </c>
      <c r="C14" s="33">
        <v>13</v>
      </c>
      <c r="D14" s="33" t="s">
        <v>252</v>
      </c>
      <c r="E14" s="33" t="s">
        <v>189</v>
      </c>
      <c r="F14" s="33" t="s">
        <v>256</v>
      </c>
      <c r="G14" s="33">
        <v>9000</v>
      </c>
      <c r="H14" s="33">
        <v>1500</v>
      </c>
      <c r="I14" s="33">
        <v>4</v>
      </c>
      <c r="J14" s="33">
        <v>2</v>
      </c>
      <c r="K14" s="33" t="s">
        <v>258</v>
      </c>
      <c r="L14">
        <f t="shared" si="0"/>
        <v>5</v>
      </c>
      <c r="M14">
        <f>G14*(1-VLOOKUP(J14,规则表!$A$10:$B$14,2,FALSE))</f>
        <v>8640</v>
      </c>
    </row>
    <row r="15" spans="1:13">
      <c r="A15" s="33">
        <v>2</v>
      </c>
      <c r="B15" s="33">
        <v>1</v>
      </c>
      <c r="C15" s="33">
        <v>14</v>
      </c>
      <c r="D15" s="33" t="s">
        <v>252</v>
      </c>
      <c r="E15" s="33" t="s">
        <v>190</v>
      </c>
      <c r="F15" s="33" t="s">
        <v>255</v>
      </c>
      <c r="G15" s="33">
        <v>10200</v>
      </c>
      <c r="H15" s="33">
        <v>1420</v>
      </c>
      <c r="I15" s="33">
        <v>4</v>
      </c>
      <c r="J15" s="33">
        <v>2</v>
      </c>
      <c r="K15" s="33" t="s">
        <v>258</v>
      </c>
      <c r="L15">
        <f t="shared" si="0"/>
        <v>5</v>
      </c>
      <c r="M15">
        <f>G15*(1-VLOOKUP(J15,规则表!$A$10:$B$14,2,FALSE))</f>
        <v>9792</v>
      </c>
    </row>
    <row r="16" spans="1:13">
      <c r="A16" s="33">
        <v>2</v>
      </c>
      <c r="B16" s="33">
        <v>1</v>
      </c>
      <c r="C16" s="33">
        <v>15</v>
      </c>
      <c r="D16" s="33" t="s">
        <v>252</v>
      </c>
      <c r="E16" s="33" t="s">
        <v>190</v>
      </c>
      <c r="F16" s="33" t="s">
        <v>256</v>
      </c>
      <c r="G16" s="33">
        <v>11500</v>
      </c>
      <c r="H16" s="33">
        <v>1360</v>
      </c>
      <c r="I16" s="33">
        <v>4</v>
      </c>
      <c r="J16" s="33">
        <v>1</v>
      </c>
      <c r="K16" s="33"/>
      <c r="L16">
        <f t="shared" si="0"/>
        <v>5</v>
      </c>
      <c r="M16">
        <f>G16*(1-VLOOKUP(J16,规则表!$A$10:$B$14,2,FALSE))</f>
        <v>11270</v>
      </c>
    </row>
    <row r="17" spans="1:13">
      <c r="A17" s="33">
        <v>2</v>
      </c>
      <c r="B17" s="33">
        <v>1</v>
      </c>
      <c r="C17" s="33">
        <v>16</v>
      </c>
      <c r="D17" s="33" t="s">
        <v>252</v>
      </c>
      <c r="E17" s="33" t="s">
        <v>191</v>
      </c>
      <c r="F17" s="33" t="s">
        <v>255</v>
      </c>
      <c r="G17" s="33">
        <v>14355</v>
      </c>
      <c r="H17" s="33">
        <v>1580</v>
      </c>
      <c r="I17" s="33">
        <v>3</v>
      </c>
      <c r="J17" s="33">
        <v>2</v>
      </c>
      <c r="K17" s="33" t="s">
        <v>258</v>
      </c>
      <c r="L17">
        <f t="shared" si="0"/>
        <v>5</v>
      </c>
      <c r="M17">
        <f>G17*(1-VLOOKUP(J17,规则表!$A$10:$B$14,2,FALSE))</f>
        <v>13780.8</v>
      </c>
    </row>
    <row r="18" spans="1:13">
      <c r="A18" s="33">
        <v>2</v>
      </c>
      <c r="B18" s="33">
        <v>1</v>
      </c>
      <c r="C18" s="33">
        <v>17</v>
      </c>
      <c r="D18" s="33" t="s">
        <v>252</v>
      </c>
      <c r="E18" s="33" t="s">
        <v>191</v>
      </c>
      <c r="F18" s="33" t="s">
        <v>256</v>
      </c>
      <c r="G18" s="33">
        <v>15326</v>
      </c>
      <c r="H18" s="33">
        <v>1600</v>
      </c>
      <c r="I18" s="33">
        <v>3</v>
      </c>
      <c r="J18" s="33">
        <v>1</v>
      </c>
      <c r="K18" s="33" t="s">
        <v>258</v>
      </c>
      <c r="L18">
        <f t="shared" si="0"/>
        <v>5</v>
      </c>
      <c r="M18">
        <f>G18*(1-VLOOKUP(J18,规则表!$A$10:$B$14,2,FALSE))</f>
        <v>15019.48</v>
      </c>
    </row>
    <row r="19" spans="1:13">
      <c r="A19" s="33">
        <v>2</v>
      </c>
      <c r="B19" s="33">
        <v>1</v>
      </c>
      <c r="C19" s="33">
        <v>18</v>
      </c>
      <c r="D19" s="33" t="s">
        <v>257</v>
      </c>
      <c r="E19" s="33" t="s">
        <v>188</v>
      </c>
      <c r="F19" s="33" t="s">
        <v>253</v>
      </c>
      <c r="G19" s="33">
        <v>4656</v>
      </c>
      <c r="H19" s="33">
        <v>2600</v>
      </c>
      <c r="I19" s="33">
        <v>2</v>
      </c>
      <c r="J19" s="33">
        <v>1</v>
      </c>
      <c r="K19" s="33" t="s">
        <v>259</v>
      </c>
      <c r="L19">
        <f t="shared" si="0"/>
        <v>5</v>
      </c>
      <c r="M19">
        <f>G19*(1-VLOOKUP(J19,规则表!$A$10:$B$14,2,FALSE))</f>
        <v>4562.88</v>
      </c>
    </row>
    <row r="20" spans="1:13">
      <c r="A20" s="33">
        <v>2</v>
      </c>
      <c r="B20" s="33">
        <v>1</v>
      </c>
      <c r="C20" s="33">
        <v>19</v>
      </c>
      <c r="D20" s="33" t="s">
        <v>257</v>
      </c>
      <c r="E20" s="33" t="s">
        <v>188</v>
      </c>
      <c r="F20" s="33" t="s">
        <v>255</v>
      </c>
      <c r="G20" s="33">
        <v>5150</v>
      </c>
      <c r="H20" s="33">
        <v>3700</v>
      </c>
      <c r="I20" s="33">
        <v>4</v>
      </c>
      <c r="J20" s="33">
        <v>2</v>
      </c>
      <c r="K20" s="33" t="s">
        <v>259</v>
      </c>
      <c r="L20">
        <f t="shared" si="0"/>
        <v>5</v>
      </c>
      <c r="M20">
        <f>G20*(1-VLOOKUP(J20,规则表!$A$10:$B$14,2,FALSE))</f>
        <v>4944</v>
      </c>
    </row>
    <row r="21" spans="1:13">
      <c r="A21" s="33">
        <v>2</v>
      </c>
      <c r="B21" s="33">
        <v>1</v>
      </c>
      <c r="C21" s="33">
        <v>20</v>
      </c>
      <c r="D21" s="33" t="s">
        <v>257</v>
      </c>
      <c r="E21" s="33" t="s">
        <v>189</v>
      </c>
      <c r="F21" s="33" t="s">
        <v>253</v>
      </c>
      <c r="G21" s="33">
        <v>7100</v>
      </c>
      <c r="H21" s="33">
        <v>4480</v>
      </c>
      <c r="I21" s="33">
        <v>4</v>
      </c>
      <c r="J21" s="33">
        <v>2</v>
      </c>
      <c r="K21" s="33" t="s">
        <v>259</v>
      </c>
      <c r="L21">
        <f t="shared" si="0"/>
        <v>5</v>
      </c>
      <c r="M21">
        <f>G21*(1-VLOOKUP(J21,规则表!$A$10:$B$14,2,FALSE))</f>
        <v>6816</v>
      </c>
    </row>
    <row r="22" spans="1:13">
      <c r="A22" s="33">
        <v>2</v>
      </c>
      <c r="B22" s="33">
        <v>1</v>
      </c>
      <c r="C22" s="33">
        <v>21</v>
      </c>
      <c r="D22" s="33" t="s">
        <v>257</v>
      </c>
      <c r="E22" s="33" t="s">
        <v>189</v>
      </c>
      <c r="F22" s="33" t="s">
        <v>255</v>
      </c>
      <c r="G22" s="33">
        <v>7610</v>
      </c>
      <c r="H22" s="33">
        <v>3700</v>
      </c>
      <c r="I22" s="33">
        <v>3</v>
      </c>
      <c r="J22" s="33">
        <v>2</v>
      </c>
      <c r="K22" s="33" t="s">
        <v>259</v>
      </c>
      <c r="L22">
        <f t="shared" si="0"/>
        <v>5</v>
      </c>
      <c r="M22">
        <f>G22*(1-VLOOKUP(J22,规则表!$A$10:$B$14,2,FALSE))</f>
        <v>7305.5999999999995</v>
      </c>
    </row>
    <row r="23" spans="1:13">
      <c r="A23" s="33">
        <v>2</v>
      </c>
      <c r="B23" s="33">
        <v>1</v>
      </c>
      <c r="C23" s="33">
        <v>22</v>
      </c>
      <c r="D23" s="33" t="s">
        <v>260</v>
      </c>
      <c r="E23" s="33" t="s">
        <v>188</v>
      </c>
      <c r="F23" s="33" t="s">
        <v>256</v>
      </c>
      <c r="G23" s="33">
        <v>5859</v>
      </c>
      <c r="H23" s="33">
        <v>1760</v>
      </c>
      <c r="I23" s="33">
        <v>4</v>
      </c>
      <c r="J23" s="33">
        <v>2</v>
      </c>
      <c r="K23" s="33" t="s">
        <v>259</v>
      </c>
      <c r="L23">
        <f t="shared" si="0"/>
        <v>5</v>
      </c>
      <c r="M23">
        <f>G23*(1-VLOOKUP(J23,规则表!$A$10:$B$14,2,FALSE))</f>
        <v>5624.6399999999994</v>
      </c>
    </row>
    <row r="24" spans="1:13">
      <c r="A24" s="33">
        <v>2</v>
      </c>
      <c r="B24" s="33">
        <v>1</v>
      </c>
      <c r="C24" s="33">
        <v>23</v>
      </c>
      <c r="D24" s="33" t="s">
        <v>260</v>
      </c>
      <c r="E24" s="33" t="s">
        <v>190</v>
      </c>
      <c r="F24" s="33" t="s">
        <v>253</v>
      </c>
      <c r="G24" s="33">
        <v>10600</v>
      </c>
      <c r="H24" s="33">
        <v>1700</v>
      </c>
      <c r="I24" s="33">
        <v>4</v>
      </c>
      <c r="J24" s="33">
        <v>1</v>
      </c>
      <c r="K24" s="33" t="s">
        <v>259</v>
      </c>
      <c r="L24">
        <f t="shared" si="0"/>
        <v>5</v>
      </c>
      <c r="M24">
        <f>G24*(1-VLOOKUP(J24,规则表!$A$10:$B$14,2,FALSE))</f>
        <v>10388</v>
      </c>
    </row>
    <row r="25" spans="1:13">
      <c r="A25" s="33">
        <v>2</v>
      </c>
      <c r="B25" s="33">
        <v>1</v>
      </c>
      <c r="C25" s="33">
        <v>24</v>
      </c>
      <c r="D25" s="33" t="s">
        <v>260</v>
      </c>
      <c r="E25" s="33" t="s">
        <v>190</v>
      </c>
      <c r="F25" s="33" t="s">
        <v>256</v>
      </c>
      <c r="G25" s="33">
        <v>12573</v>
      </c>
      <c r="H25" s="33">
        <v>1420</v>
      </c>
      <c r="I25" s="33">
        <v>3</v>
      </c>
      <c r="J25" s="33">
        <v>2</v>
      </c>
      <c r="K25" s="33" t="s">
        <v>259</v>
      </c>
      <c r="L25">
        <f t="shared" si="0"/>
        <v>5</v>
      </c>
      <c r="M25">
        <f>G25*(1-VLOOKUP(J25,规则表!$A$10:$B$14,2,FALSE))</f>
        <v>12070.08</v>
      </c>
    </row>
    <row r="26" spans="1:13">
      <c r="A26" s="33">
        <v>2</v>
      </c>
      <c r="B26" s="33">
        <v>1</v>
      </c>
      <c r="C26" s="33">
        <v>25</v>
      </c>
      <c r="D26" s="33" t="s">
        <v>260</v>
      </c>
      <c r="E26" s="33" t="s">
        <v>191</v>
      </c>
      <c r="F26" s="33" t="s">
        <v>255</v>
      </c>
      <c r="G26" s="33">
        <v>15200</v>
      </c>
      <c r="H26" s="33">
        <v>1440</v>
      </c>
      <c r="I26" s="33">
        <v>2</v>
      </c>
      <c r="J26" s="33">
        <v>1</v>
      </c>
      <c r="K26" s="33" t="s">
        <v>259</v>
      </c>
      <c r="L26">
        <f t="shared" si="0"/>
        <v>5</v>
      </c>
      <c r="M26">
        <f>G26*(1-VLOOKUP(J26,规则表!$A$10:$B$14,2,FALSE))</f>
        <v>14896</v>
      </c>
    </row>
    <row r="27" spans="1:13">
      <c r="A27" s="33">
        <v>2</v>
      </c>
      <c r="B27" s="33">
        <v>1</v>
      </c>
      <c r="C27" s="33">
        <v>26</v>
      </c>
      <c r="D27" s="33" t="s">
        <v>260</v>
      </c>
      <c r="E27" s="33" t="s">
        <v>191</v>
      </c>
      <c r="F27" s="33" t="s">
        <v>256</v>
      </c>
      <c r="G27" s="33">
        <v>15434</v>
      </c>
      <c r="H27" s="33">
        <v>1200</v>
      </c>
      <c r="I27" s="33">
        <v>4</v>
      </c>
      <c r="J27" s="33">
        <v>2</v>
      </c>
      <c r="K27" s="33" t="s">
        <v>259</v>
      </c>
      <c r="L27">
        <f t="shared" si="0"/>
        <v>5</v>
      </c>
      <c r="M27">
        <f>G27*(1-VLOOKUP(J27,规则表!$A$10:$B$14,2,FALSE))</f>
        <v>14816.64</v>
      </c>
    </row>
    <row r="28" spans="1:13">
      <c r="A28" s="33">
        <v>2</v>
      </c>
      <c r="B28" s="33">
        <v>2</v>
      </c>
      <c r="C28" s="33">
        <v>27</v>
      </c>
      <c r="D28" s="33" t="s">
        <v>261</v>
      </c>
      <c r="E28" s="33" t="s">
        <v>189</v>
      </c>
      <c r="F28" s="33" t="s">
        <v>256</v>
      </c>
      <c r="G28" s="33">
        <v>7103</v>
      </c>
      <c r="H28" s="33">
        <v>4000</v>
      </c>
      <c r="I28" s="33">
        <v>4</v>
      </c>
      <c r="J28" s="33">
        <v>2</v>
      </c>
      <c r="K28" s="33" t="s">
        <v>259</v>
      </c>
      <c r="L28">
        <f t="shared" si="0"/>
        <v>6</v>
      </c>
      <c r="M28">
        <f>G28*(1-VLOOKUP(J28,规则表!$A$10:$B$14,2,FALSE))</f>
        <v>6818.88</v>
      </c>
    </row>
    <row r="29" spans="1:13">
      <c r="A29" s="33">
        <v>2</v>
      </c>
      <c r="B29" s="33">
        <v>2</v>
      </c>
      <c r="C29" s="33">
        <v>28</v>
      </c>
      <c r="D29" s="33" t="s">
        <v>261</v>
      </c>
      <c r="E29" s="33" t="s">
        <v>190</v>
      </c>
      <c r="F29" s="33" t="s">
        <v>253</v>
      </c>
      <c r="G29" s="33">
        <v>9446</v>
      </c>
      <c r="H29" s="33">
        <v>4000</v>
      </c>
      <c r="I29" s="33">
        <v>4</v>
      </c>
      <c r="J29" s="33">
        <v>1</v>
      </c>
      <c r="K29" s="33" t="s">
        <v>259</v>
      </c>
      <c r="L29">
        <f t="shared" si="0"/>
        <v>6</v>
      </c>
      <c r="M29">
        <f>G29*(1-VLOOKUP(J29,规则表!$A$10:$B$14,2,FALSE))</f>
        <v>9257.08</v>
      </c>
    </row>
    <row r="30" spans="1:13">
      <c r="A30" s="33">
        <v>2</v>
      </c>
      <c r="B30" s="33">
        <v>2</v>
      </c>
      <c r="C30" s="33">
        <v>29</v>
      </c>
      <c r="D30" s="33" t="s">
        <v>261</v>
      </c>
      <c r="E30" s="33" t="s">
        <v>190</v>
      </c>
      <c r="F30" s="33" t="s">
        <v>256</v>
      </c>
      <c r="G30" s="33">
        <v>10046</v>
      </c>
      <c r="H30" s="33">
        <v>4000</v>
      </c>
      <c r="I30" s="33">
        <v>3</v>
      </c>
      <c r="J30" s="33">
        <v>2</v>
      </c>
      <c r="K30" s="33" t="s">
        <v>259</v>
      </c>
      <c r="L30">
        <f t="shared" si="0"/>
        <v>6</v>
      </c>
      <c r="M30">
        <f>G30*(1-VLOOKUP(J30,规则表!$A$10:$B$14,2,FALSE))</f>
        <v>9644.16</v>
      </c>
    </row>
    <row r="31" spans="1:13">
      <c r="A31" s="33">
        <v>2</v>
      </c>
      <c r="B31" s="33">
        <v>2</v>
      </c>
      <c r="C31" s="33">
        <v>30</v>
      </c>
      <c r="D31" s="33" t="s">
        <v>261</v>
      </c>
      <c r="E31" s="33" t="s">
        <v>191</v>
      </c>
      <c r="F31" s="33" t="s">
        <v>255</v>
      </c>
      <c r="G31" s="33">
        <v>13000</v>
      </c>
      <c r="H31" s="33">
        <v>4000</v>
      </c>
      <c r="I31" s="33">
        <v>4</v>
      </c>
      <c r="J31" s="33">
        <v>1</v>
      </c>
      <c r="K31" s="33" t="s">
        <v>259</v>
      </c>
      <c r="L31">
        <f t="shared" si="0"/>
        <v>6</v>
      </c>
      <c r="M31">
        <f>G31*(1-VLOOKUP(J31,规则表!$A$10:$B$14,2,FALSE))</f>
        <v>12740</v>
      </c>
    </row>
    <row r="32" spans="1:13">
      <c r="A32" s="33">
        <v>2</v>
      </c>
      <c r="B32" s="33">
        <v>2</v>
      </c>
      <c r="C32" s="33">
        <v>31</v>
      </c>
      <c r="D32" s="33" t="s">
        <v>261</v>
      </c>
      <c r="E32" s="33" t="s">
        <v>191</v>
      </c>
      <c r="F32" s="33" t="s">
        <v>256</v>
      </c>
      <c r="G32" s="33">
        <v>13330</v>
      </c>
      <c r="H32" s="33">
        <v>4000</v>
      </c>
      <c r="I32" s="33">
        <v>4</v>
      </c>
      <c r="J32" s="33">
        <v>1</v>
      </c>
      <c r="K32" s="33" t="s">
        <v>259</v>
      </c>
      <c r="L32">
        <f t="shared" si="0"/>
        <v>6</v>
      </c>
      <c r="M32">
        <f>G32*(1-VLOOKUP(J32,规则表!$A$10:$B$14,2,FALSE))</f>
        <v>13063.4</v>
      </c>
    </row>
    <row r="33" spans="1:13">
      <c r="A33" s="33">
        <v>3</v>
      </c>
      <c r="B33" s="33">
        <v>1</v>
      </c>
      <c r="C33" s="33">
        <v>32</v>
      </c>
      <c r="D33" s="33" t="s">
        <v>252</v>
      </c>
      <c r="E33" s="33" t="s">
        <v>188</v>
      </c>
      <c r="F33" s="33" t="s">
        <v>253</v>
      </c>
      <c r="G33" s="33">
        <v>4320</v>
      </c>
      <c r="H33" s="33">
        <v>3400</v>
      </c>
      <c r="I33" s="33">
        <v>3</v>
      </c>
      <c r="J33" s="33">
        <v>2</v>
      </c>
      <c r="K33" s="33" t="s">
        <v>259</v>
      </c>
      <c r="L33">
        <f t="shared" si="0"/>
        <v>9</v>
      </c>
      <c r="M33">
        <f>G33*(1-VLOOKUP(J33,规则表!$A$10:$B$14,2,FALSE))</f>
        <v>4147.2</v>
      </c>
    </row>
    <row r="34" spans="1:13">
      <c r="A34" s="33">
        <v>3</v>
      </c>
      <c r="B34" s="33">
        <v>1</v>
      </c>
      <c r="C34" s="33">
        <v>33</v>
      </c>
      <c r="D34" s="33" t="s">
        <v>252</v>
      </c>
      <c r="E34" s="33" t="s">
        <v>189</v>
      </c>
      <c r="F34" s="33" t="s">
        <v>255</v>
      </c>
      <c r="G34" s="33">
        <v>7885</v>
      </c>
      <c r="H34" s="33">
        <v>3800</v>
      </c>
      <c r="I34" s="33">
        <v>2</v>
      </c>
      <c r="J34" s="33">
        <v>1</v>
      </c>
      <c r="K34" s="33" t="s">
        <v>259</v>
      </c>
      <c r="L34">
        <f t="shared" si="0"/>
        <v>9</v>
      </c>
      <c r="M34">
        <f>G34*(1-VLOOKUP(J34,规则表!$A$10:$B$14,2,FALSE))</f>
        <v>7727.3</v>
      </c>
    </row>
    <row r="35" spans="1:13">
      <c r="A35" s="33">
        <v>3</v>
      </c>
      <c r="B35" s="33">
        <v>1</v>
      </c>
      <c r="C35" s="33">
        <v>34</v>
      </c>
      <c r="D35" s="33" t="s">
        <v>252</v>
      </c>
      <c r="E35" s="33" t="s">
        <v>190</v>
      </c>
      <c r="F35" s="33" t="s">
        <v>256</v>
      </c>
      <c r="G35" s="33">
        <v>11500</v>
      </c>
      <c r="H35" s="33">
        <v>1440</v>
      </c>
      <c r="I35" s="33">
        <v>2</v>
      </c>
      <c r="J35" s="33">
        <v>2</v>
      </c>
      <c r="K35" s="33" t="s">
        <v>259</v>
      </c>
      <c r="L35">
        <f t="shared" si="0"/>
        <v>9</v>
      </c>
      <c r="M35">
        <f>G35*(1-VLOOKUP(J35,规则表!$A$10:$B$14,2,FALSE))</f>
        <v>11040</v>
      </c>
    </row>
    <row r="36" spans="1:13">
      <c r="A36" s="33">
        <v>3</v>
      </c>
      <c r="B36" s="33">
        <v>1</v>
      </c>
      <c r="C36" s="33">
        <v>35</v>
      </c>
      <c r="D36" s="33" t="s">
        <v>252</v>
      </c>
      <c r="E36" s="33" t="s">
        <v>191</v>
      </c>
      <c r="F36" s="33" t="s">
        <v>253</v>
      </c>
      <c r="G36" s="33">
        <v>14220</v>
      </c>
      <c r="H36" s="33">
        <v>2000</v>
      </c>
      <c r="I36" s="33">
        <v>4</v>
      </c>
      <c r="J36" s="33">
        <v>1</v>
      </c>
      <c r="K36" s="33" t="s">
        <v>259</v>
      </c>
      <c r="L36">
        <f t="shared" si="0"/>
        <v>9</v>
      </c>
      <c r="M36">
        <f>G36*(1-VLOOKUP(J36,规则表!$A$10:$B$14,2,FALSE))</f>
        <v>13935.6</v>
      </c>
    </row>
    <row r="37" spans="1:13">
      <c r="A37" s="33">
        <v>3</v>
      </c>
      <c r="B37" s="33">
        <v>1</v>
      </c>
      <c r="C37" s="33">
        <v>36</v>
      </c>
      <c r="D37" s="33" t="s">
        <v>257</v>
      </c>
      <c r="E37" s="33" t="s">
        <v>188</v>
      </c>
      <c r="F37" s="33" t="s">
        <v>253</v>
      </c>
      <c r="G37" s="33">
        <v>4800</v>
      </c>
      <c r="H37" s="33">
        <v>3400</v>
      </c>
      <c r="I37" s="33">
        <v>3</v>
      </c>
      <c r="J37" s="33">
        <v>2</v>
      </c>
      <c r="K37" s="33" t="s">
        <v>259</v>
      </c>
      <c r="L37">
        <f t="shared" si="0"/>
        <v>9</v>
      </c>
      <c r="M37">
        <f>G37*(1-VLOOKUP(J37,规则表!$A$10:$B$14,2,FALSE))</f>
        <v>4608</v>
      </c>
    </row>
    <row r="38" spans="1:13">
      <c r="A38" s="33">
        <v>3</v>
      </c>
      <c r="B38" s="33">
        <v>1</v>
      </c>
      <c r="C38" s="33">
        <v>37</v>
      </c>
      <c r="D38" s="33" t="s">
        <v>257</v>
      </c>
      <c r="E38" s="33" t="s">
        <v>188</v>
      </c>
      <c r="F38" s="33" t="s">
        <v>255</v>
      </c>
      <c r="G38" s="33">
        <v>4823</v>
      </c>
      <c r="H38" s="33">
        <v>2300</v>
      </c>
      <c r="I38" s="33">
        <v>3</v>
      </c>
      <c r="J38" s="33">
        <v>2</v>
      </c>
      <c r="K38" s="33" t="s">
        <v>259</v>
      </c>
      <c r="L38">
        <f t="shared" si="0"/>
        <v>9</v>
      </c>
      <c r="M38">
        <f>G38*(1-VLOOKUP(J38,规则表!$A$10:$B$14,2,FALSE))</f>
        <v>4630.08</v>
      </c>
    </row>
    <row r="39" spans="1:13">
      <c r="A39" s="33">
        <v>3</v>
      </c>
      <c r="B39" s="33">
        <v>1</v>
      </c>
      <c r="C39" s="33">
        <v>38</v>
      </c>
      <c r="D39" s="33" t="s">
        <v>257</v>
      </c>
      <c r="E39" s="33" t="s">
        <v>189</v>
      </c>
      <c r="F39" s="33" t="s">
        <v>253</v>
      </c>
      <c r="G39" s="33">
        <v>7275</v>
      </c>
      <c r="H39" s="33">
        <v>2960</v>
      </c>
      <c r="I39" s="33">
        <v>3</v>
      </c>
      <c r="J39" s="33">
        <v>1</v>
      </c>
      <c r="K39" s="33" t="s">
        <v>259</v>
      </c>
      <c r="L39">
        <f t="shared" si="0"/>
        <v>9</v>
      </c>
      <c r="M39">
        <f>G39*(1-VLOOKUP(J39,规则表!$A$10:$B$14,2,FALSE))</f>
        <v>7129.5</v>
      </c>
    </row>
    <row r="40" spans="1:13">
      <c r="A40" s="33">
        <v>3</v>
      </c>
      <c r="B40" s="33">
        <v>1</v>
      </c>
      <c r="C40" s="33">
        <v>39</v>
      </c>
      <c r="D40" s="33" t="s">
        <v>257</v>
      </c>
      <c r="E40" s="33" t="s">
        <v>189</v>
      </c>
      <c r="F40" s="33" t="s">
        <v>255</v>
      </c>
      <c r="G40" s="33">
        <v>7553</v>
      </c>
      <c r="H40" s="33">
        <v>1880</v>
      </c>
      <c r="I40" s="33">
        <v>3</v>
      </c>
      <c r="J40" s="33">
        <v>2</v>
      </c>
      <c r="K40" s="33" t="s">
        <v>262</v>
      </c>
      <c r="L40">
        <f t="shared" si="0"/>
        <v>9</v>
      </c>
      <c r="M40">
        <f>G40*(1-VLOOKUP(J40,规则表!$A$10:$B$14,2,FALSE))</f>
        <v>7250.88</v>
      </c>
    </row>
    <row r="41" spans="1:13">
      <c r="A41" s="33">
        <v>3</v>
      </c>
      <c r="B41" s="33">
        <v>1</v>
      </c>
      <c r="C41" s="33">
        <v>40</v>
      </c>
      <c r="D41" s="33" t="s">
        <v>257</v>
      </c>
      <c r="E41" s="33" t="s">
        <v>191</v>
      </c>
      <c r="F41" s="33" t="s">
        <v>255</v>
      </c>
      <c r="G41" s="33">
        <v>14220</v>
      </c>
      <c r="H41" s="33">
        <v>2400</v>
      </c>
      <c r="I41" s="33">
        <v>2</v>
      </c>
      <c r="J41" s="33">
        <v>1</v>
      </c>
      <c r="K41" s="33" t="s">
        <v>262</v>
      </c>
      <c r="L41">
        <f t="shared" si="0"/>
        <v>9</v>
      </c>
      <c r="M41">
        <f>G41*(1-VLOOKUP(J41,规则表!$A$10:$B$14,2,FALSE))</f>
        <v>13935.6</v>
      </c>
    </row>
    <row r="42" spans="1:13">
      <c r="A42" s="33">
        <v>3</v>
      </c>
      <c r="B42" s="33">
        <v>1</v>
      </c>
      <c r="C42" s="33">
        <v>41</v>
      </c>
      <c r="D42" s="33" t="s">
        <v>260</v>
      </c>
      <c r="E42" s="33" t="s">
        <v>190</v>
      </c>
      <c r="F42" s="33" t="s">
        <v>253</v>
      </c>
      <c r="G42" s="33">
        <v>10176</v>
      </c>
      <c r="H42" s="33">
        <v>2300</v>
      </c>
      <c r="I42" s="33">
        <v>4</v>
      </c>
      <c r="J42" s="33">
        <v>2</v>
      </c>
      <c r="K42" s="33" t="s">
        <v>262</v>
      </c>
      <c r="L42">
        <f t="shared" si="0"/>
        <v>9</v>
      </c>
      <c r="M42">
        <f>G42*(1-VLOOKUP(J42,规则表!$A$10:$B$14,2,FALSE))</f>
        <v>9768.9599999999991</v>
      </c>
    </row>
    <row r="43" spans="1:13">
      <c r="A43" s="33">
        <v>3</v>
      </c>
      <c r="B43" s="33">
        <v>1</v>
      </c>
      <c r="C43" s="33">
        <v>42</v>
      </c>
      <c r="D43" s="33" t="s">
        <v>260</v>
      </c>
      <c r="E43" s="33" t="s">
        <v>190</v>
      </c>
      <c r="F43" s="33" t="s">
        <v>256</v>
      </c>
      <c r="G43" s="33">
        <v>11811</v>
      </c>
      <c r="H43" s="33">
        <v>1160</v>
      </c>
      <c r="I43" s="33">
        <v>4</v>
      </c>
      <c r="J43" s="33">
        <v>2</v>
      </c>
      <c r="K43" s="33" t="s">
        <v>262</v>
      </c>
      <c r="L43">
        <f t="shared" si="0"/>
        <v>9</v>
      </c>
      <c r="M43">
        <f>G43*(1-VLOOKUP(J43,规则表!$A$10:$B$14,2,FALSE))</f>
        <v>11338.56</v>
      </c>
    </row>
    <row r="44" spans="1:13">
      <c r="A44" s="33">
        <v>3</v>
      </c>
      <c r="B44" s="33">
        <v>1</v>
      </c>
      <c r="C44" s="33">
        <v>43</v>
      </c>
      <c r="D44" s="33" t="s">
        <v>260</v>
      </c>
      <c r="E44" s="33" t="s">
        <v>191</v>
      </c>
      <c r="F44" s="33" t="s">
        <v>253</v>
      </c>
      <c r="G44" s="33">
        <v>14195</v>
      </c>
      <c r="H44" s="33">
        <v>2640</v>
      </c>
      <c r="I44" s="33">
        <v>4</v>
      </c>
      <c r="J44" s="33">
        <v>1</v>
      </c>
      <c r="K44" s="33" t="s">
        <v>262</v>
      </c>
      <c r="L44">
        <f t="shared" si="0"/>
        <v>9</v>
      </c>
      <c r="M44">
        <f>G44*(1-VLOOKUP(J44,规则表!$A$10:$B$14,2,FALSE))</f>
        <v>13911.1</v>
      </c>
    </row>
    <row r="45" spans="1:13">
      <c r="A45" s="33">
        <v>3</v>
      </c>
      <c r="B45" s="33">
        <v>1</v>
      </c>
      <c r="C45" s="33">
        <v>44</v>
      </c>
      <c r="D45" s="33" t="s">
        <v>260</v>
      </c>
      <c r="E45" s="33" t="s">
        <v>191</v>
      </c>
      <c r="F45" s="33" t="s">
        <v>256</v>
      </c>
      <c r="G45" s="33">
        <v>15400</v>
      </c>
      <c r="H45" s="33">
        <v>2200</v>
      </c>
      <c r="I45" s="33">
        <v>4</v>
      </c>
      <c r="J45" s="33">
        <v>2</v>
      </c>
      <c r="K45" s="33" t="s">
        <v>262</v>
      </c>
      <c r="L45">
        <f t="shared" si="0"/>
        <v>9</v>
      </c>
      <c r="M45">
        <f>G45*(1-VLOOKUP(J45,规则表!$A$10:$B$14,2,FALSE))</f>
        <v>14784</v>
      </c>
    </row>
    <row r="46" spans="1:13">
      <c r="A46" s="33">
        <v>3</v>
      </c>
      <c r="B46" s="33">
        <v>1</v>
      </c>
      <c r="C46" s="33">
        <v>45</v>
      </c>
      <c r="D46" s="33" t="s">
        <v>261</v>
      </c>
      <c r="E46" s="33" t="s">
        <v>190</v>
      </c>
      <c r="F46" s="33" t="s">
        <v>255</v>
      </c>
      <c r="G46" s="33">
        <v>10904</v>
      </c>
      <c r="H46" s="33">
        <v>3200</v>
      </c>
      <c r="I46" s="33">
        <v>2</v>
      </c>
      <c r="J46" s="33">
        <v>2</v>
      </c>
      <c r="K46" s="33" t="s">
        <v>262</v>
      </c>
      <c r="L46">
        <f t="shared" si="0"/>
        <v>9</v>
      </c>
      <c r="M46">
        <f>G46*(1-VLOOKUP(J46,规则表!$A$10:$B$14,2,FALSE))</f>
        <v>10467.84</v>
      </c>
    </row>
    <row r="47" spans="1:13">
      <c r="A47" s="33">
        <v>3</v>
      </c>
      <c r="B47" s="33">
        <v>1</v>
      </c>
      <c r="C47" s="33">
        <v>46</v>
      </c>
      <c r="D47" s="33" t="s">
        <v>261</v>
      </c>
      <c r="E47" s="33" t="s">
        <v>191</v>
      </c>
      <c r="F47" s="33" t="s">
        <v>256</v>
      </c>
      <c r="G47" s="33">
        <v>16008</v>
      </c>
      <c r="H47" s="33">
        <v>2880</v>
      </c>
      <c r="I47" s="33">
        <v>4</v>
      </c>
      <c r="J47" s="33">
        <v>1</v>
      </c>
      <c r="K47" s="33" t="s">
        <v>262</v>
      </c>
      <c r="L47">
        <f t="shared" si="0"/>
        <v>9</v>
      </c>
      <c r="M47">
        <f>G47*(1-VLOOKUP(J47,规则表!$A$10:$B$14,2,FALSE))</f>
        <v>15687.84</v>
      </c>
    </row>
    <row r="48" spans="1:13">
      <c r="A48" s="33">
        <v>3</v>
      </c>
      <c r="B48" s="33">
        <v>1</v>
      </c>
      <c r="C48" s="33">
        <v>47</v>
      </c>
      <c r="D48" s="33" t="s">
        <v>261</v>
      </c>
      <c r="E48" s="33" t="s">
        <v>191</v>
      </c>
      <c r="F48" s="33" t="s">
        <v>255</v>
      </c>
      <c r="G48" s="33">
        <v>15660</v>
      </c>
      <c r="H48" s="33">
        <v>2400</v>
      </c>
      <c r="I48" s="33">
        <v>3</v>
      </c>
      <c r="J48" s="33">
        <v>2</v>
      </c>
      <c r="K48" s="33" t="s">
        <v>262</v>
      </c>
      <c r="L48">
        <f t="shared" ref="L48:L76" si="1">(A48-1)*4+B48</f>
        <v>9</v>
      </c>
      <c r="M48">
        <f>G48*(1-VLOOKUP(J48,规则表!$A$10:$B$14,2,FALSE))</f>
        <v>15033.599999999999</v>
      </c>
    </row>
    <row r="49" spans="1:13">
      <c r="A49" s="33">
        <v>3</v>
      </c>
      <c r="B49" s="33">
        <v>2</v>
      </c>
      <c r="C49" s="33">
        <v>48</v>
      </c>
      <c r="D49" s="33" t="s">
        <v>257</v>
      </c>
      <c r="E49" s="33" t="s">
        <v>189</v>
      </c>
      <c r="F49" s="33" t="s">
        <v>253</v>
      </c>
      <c r="G49" s="33">
        <v>7000</v>
      </c>
      <c r="H49" s="33">
        <v>5600</v>
      </c>
      <c r="I49" s="33">
        <v>3</v>
      </c>
      <c r="J49" s="33">
        <v>2</v>
      </c>
      <c r="K49" s="33" t="s">
        <v>262</v>
      </c>
      <c r="L49">
        <f t="shared" si="1"/>
        <v>10</v>
      </c>
      <c r="M49">
        <f>G49*(1-VLOOKUP(J49,规则表!$A$10:$B$14,2,FALSE))</f>
        <v>6720</v>
      </c>
    </row>
    <row r="50" spans="1:13">
      <c r="A50" s="33">
        <v>3</v>
      </c>
      <c r="B50" s="33">
        <v>2</v>
      </c>
      <c r="C50" s="33">
        <v>49</v>
      </c>
      <c r="D50" s="33" t="s">
        <v>257</v>
      </c>
      <c r="E50" s="33" t="s">
        <v>190</v>
      </c>
      <c r="F50" s="33" t="s">
        <v>256</v>
      </c>
      <c r="G50" s="33">
        <v>9910</v>
      </c>
      <c r="H50" s="33">
        <v>5000</v>
      </c>
      <c r="I50" s="33">
        <v>4</v>
      </c>
      <c r="J50" s="33">
        <v>2</v>
      </c>
      <c r="K50" s="33" t="s">
        <v>262</v>
      </c>
      <c r="L50">
        <f t="shared" si="1"/>
        <v>10</v>
      </c>
      <c r="M50">
        <f>G50*(1-VLOOKUP(J50,规则表!$A$10:$B$14,2,FALSE))</f>
        <v>9513.6</v>
      </c>
    </row>
    <row r="51" spans="1:13">
      <c r="A51" s="33">
        <v>3</v>
      </c>
      <c r="B51" s="33">
        <v>2</v>
      </c>
      <c r="C51" s="33">
        <v>50</v>
      </c>
      <c r="D51" s="33" t="s">
        <v>257</v>
      </c>
      <c r="E51" s="33" t="s">
        <v>191</v>
      </c>
      <c r="F51" s="33" t="s">
        <v>253</v>
      </c>
      <c r="G51" s="33">
        <v>11880</v>
      </c>
      <c r="H51" s="33">
        <v>6600</v>
      </c>
      <c r="I51" s="33">
        <v>4</v>
      </c>
      <c r="J51" s="33">
        <v>2</v>
      </c>
      <c r="K51" s="33" t="s">
        <v>262</v>
      </c>
      <c r="L51">
        <f t="shared" si="1"/>
        <v>10</v>
      </c>
      <c r="M51">
        <f>G51*(1-VLOOKUP(J51,规则表!$A$10:$B$14,2,FALSE))</f>
        <v>11404.8</v>
      </c>
    </row>
    <row r="52" spans="1:13">
      <c r="A52" s="33">
        <v>3</v>
      </c>
      <c r="B52" s="33">
        <v>2</v>
      </c>
      <c r="C52" s="33">
        <v>51</v>
      </c>
      <c r="D52" s="33" t="s">
        <v>260</v>
      </c>
      <c r="E52" s="33" t="s">
        <v>191</v>
      </c>
      <c r="F52" s="33" t="s">
        <v>255</v>
      </c>
      <c r="G52" s="33">
        <v>12880</v>
      </c>
      <c r="H52" s="33">
        <v>6600</v>
      </c>
      <c r="I52" s="33">
        <v>4</v>
      </c>
      <c r="J52" s="33">
        <v>1</v>
      </c>
      <c r="K52" s="33" t="s">
        <v>262</v>
      </c>
      <c r="L52">
        <f t="shared" si="1"/>
        <v>10</v>
      </c>
      <c r="M52">
        <f>G52*(1-VLOOKUP(J52,规则表!$A$10:$B$14,2,FALSE))</f>
        <v>12622.4</v>
      </c>
    </row>
    <row r="53" spans="1:13">
      <c r="A53" s="33">
        <v>3</v>
      </c>
      <c r="B53" s="33">
        <v>2</v>
      </c>
      <c r="C53" s="33">
        <v>52</v>
      </c>
      <c r="D53" s="33" t="s">
        <v>261</v>
      </c>
      <c r="E53" s="33" t="s">
        <v>191</v>
      </c>
      <c r="F53" s="33" t="s">
        <v>256</v>
      </c>
      <c r="G53" s="33">
        <v>13880</v>
      </c>
      <c r="H53" s="33">
        <v>6600</v>
      </c>
      <c r="I53" s="33">
        <v>3</v>
      </c>
      <c r="J53" s="33">
        <v>2</v>
      </c>
      <c r="K53" s="33" t="s">
        <v>262</v>
      </c>
      <c r="L53">
        <f t="shared" si="1"/>
        <v>10</v>
      </c>
      <c r="M53">
        <f>G53*(1-VLOOKUP(J53,规则表!$A$10:$B$14,2,FALSE))</f>
        <v>13324.8</v>
      </c>
    </row>
    <row r="54" spans="1:13">
      <c r="A54" s="33">
        <v>4</v>
      </c>
      <c r="B54" s="33">
        <v>1</v>
      </c>
      <c r="C54" s="33">
        <v>53</v>
      </c>
      <c r="D54" s="33" t="s">
        <v>252</v>
      </c>
      <c r="E54" s="33" t="s">
        <v>188</v>
      </c>
      <c r="F54" s="33" t="s">
        <v>255</v>
      </c>
      <c r="G54" s="33">
        <v>5141</v>
      </c>
      <c r="H54" s="33">
        <v>1700</v>
      </c>
      <c r="I54" s="33">
        <v>3</v>
      </c>
      <c r="J54" s="33">
        <v>2</v>
      </c>
      <c r="K54" s="33" t="s">
        <v>262</v>
      </c>
      <c r="L54">
        <f t="shared" si="1"/>
        <v>13</v>
      </c>
      <c r="M54">
        <f>G54*(1-VLOOKUP(J54,规则表!$A$10:$B$14,2,FALSE))</f>
        <v>4935.3599999999997</v>
      </c>
    </row>
    <row r="55" spans="1:13">
      <c r="A55" s="33">
        <v>4</v>
      </c>
      <c r="B55" s="33">
        <v>1</v>
      </c>
      <c r="C55" s="33">
        <v>54</v>
      </c>
      <c r="D55" s="33" t="s">
        <v>252</v>
      </c>
      <c r="E55" s="33" t="s">
        <v>189</v>
      </c>
      <c r="F55" s="33" t="s">
        <v>253</v>
      </c>
      <c r="G55" s="33">
        <v>7500</v>
      </c>
      <c r="H55" s="33">
        <v>1700</v>
      </c>
      <c r="I55" s="33">
        <v>2</v>
      </c>
      <c r="J55" s="33">
        <v>2</v>
      </c>
      <c r="K55" s="33" t="s">
        <v>262</v>
      </c>
      <c r="L55">
        <f t="shared" si="1"/>
        <v>13</v>
      </c>
      <c r="M55">
        <f>G55*(1-VLOOKUP(J55,规则表!$A$10:$B$14,2,FALSE))</f>
        <v>7200</v>
      </c>
    </row>
    <row r="56" spans="1:13">
      <c r="A56" s="33">
        <v>4</v>
      </c>
      <c r="B56" s="33">
        <v>1</v>
      </c>
      <c r="C56" s="33">
        <v>55</v>
      </c>
      <c r="D56" s="33" t="s">
        <v>252</v>
      </c>
      <c r="E56" s="33" t="s">
        <v>190</v>
      </c>
      <c r="F56" s="33" t="s">
        <v>256</v>
      </c>
      <c r="G56" s="33">
        <v>10580</v>
      </c>
      <c r="H56" s="33">
        <v>1700</v>
      </c>
      <c r="I56" s="33">
        <v>4</v>
      </c>
      <c r="J56" s="33">
        <v>1</v>
      </c>
      <c r="K56" s="33" t="s">
        <v>262</v>
      </c>
      <c r="L56">
        <f t="shared" si="1"/>
        <v>13</v>
      </c>
      <c r="M56">
        <f>G56*(1-VLOOKUP(J56,规则表!$A$10:$B$14,2,FALSE))</f>
        <v>10368.4</v>
      </c>
    </row>
    <row r="57" spans="1:13">
      <c r="A57" s="33">
        <v>4</v>
      </c>
      <c r="B57" s="33">
        <v>1</v>
      </c>
      <c r="C57" s="33">
        <v>56</v>
      </c>
      <c r="D57" s="33" t="s">
        <v>252</v>
      </c>
      <c r="E57" s="33" t="s">
        <v>191</v>
      </c>
      <c r="F57" s="33" t="s">
        <v>255</v>
      </c>
      <c r="G57" s="33">
        <v>15326</v>
      </c>
      <c r="H57" s="33">
        <v>3300</v>
      </c>
      <c r="I57" s="33">
        <v>3</v>
      </c>
      <c r="J57" s="33">
        <v>2</v>
      </c>
      <c r="K57" s="33" t="s">
        <v>262</v>
      </c>
      <c r="L57">
        <f t="shared" si="1"/>
        <v>13</v>
      </c>
      <c r="M57">
        <f>G57*(1-VLOOKUP(J57,规则表!$A$10:$B$14,2,FALSE))</f>
        <v>14712.96</v>
      </c>
    </row>
    <row r="58" spans="1:13">
      <c r="A58" s="33">
        <v>4</v>
      </c>
      <c r="B58" s="33">
        <v>1</v>
      </c>
      <c r="C58" s="33">
        <v>57</v>
      </c>
      <c r="D58" s="33" t="s">
        <v>252</v>
      </c>
      <c r="E58" s="33" t="s">
        <v>191</v>
      </c>
      <c r="F58" s="33" t="s">
        <v>253</v>
      </c>
      <c r="G58" s="33">
        <v>14326</v>
      </c>
      <c r="H58" s="33">
        <v>3800</v>
      </c>
      <c r="I58" s="33">
        <v>3</v>
      </c>
      <c r="J58" s="33">
        <v>2</v>
      </c>
      <c r="K58" s="33" t="s">
        <v>262</v>
      </c>
      <c r="L58">
        <f t="shared" si="1"/>
        <v>13</v>
      </c>
      <c r="M58">
        <f>G58*(1-VLOOKUP(J58,规则表!$A$10:$B$14,2,FALSE))</f>
        <v>13752.96</v>
      </c>
    </row>
    <row r="59" spans="1:13">
      <c r="A59" s="33">
        <v>4</v>
      </c>
      <c r="B59" s="33">
        <v>1</v>
      </c>
      <c r="C59" s="33">
        <v>58</v>
      </c>
      <c r="D59" s="33" t="s">
        <v>257</v>
      </c>
      <c r="E59" s="33" t="s">
        <v>188</v>
      </c>
      <c r="F59" s="33" t="s">
        <v>253</v>
      </c>
      <c r="G59" s="33">
        <v>5512</v>
      </c>
      <c r="H59" s="33">
        <v>2800</v>
      </c>
      <c r="I59" s="33">
        <v>4</v>
      </c>
      <c r="J59" s="33">
        <v>2</v>
      </c>
      <c r="K59" s="33" t="s">
        <v>262</v>
      </c>
      <c r="L59">
        <f t="shared" si="1"/>
        <v>13</v>
      </c>
      <c r="M59">
        <f>G59*(1-VLOOKUP(J59,规则表!$A$10:$B$14,2,FALSE))</f>
        <v>5291.5199999999995</v>
      </c>
    </row>
    <row r="60" spans="1:13">
      <c r="A60" s="33">
        <v>4</v>
      </c>
      <c r="B60" s="33">
        <v>1</v>
      </c>
      <c r="C60" s="33">
        <v>59</v>
      </c>
      <c r="D60" s="33" t="s">
        <v>257</v>
      </c>
      <c r="E60" s="33" t="s">
        <v>188</v>
      </c>
      <c r="F60" s="33" t="s">
        <v>255</v>
      </c>
      <c r="G60" s="33">
        <v>6194</v>
      </c>
      <c r="H60" s="33">
        <v>2600</v>
      </c>
      <c r="I60" s="33">
        <v>4</v>
      </c>
      <c r="J60" s="33">
        <v>2</v>
      </c>
      <c r="K60" s="33" t="s">
        <v>262</v>
      </c>
      <c r="L60">
        <f t="shared" si="1"/>
        <v>13</v>
      </c>
      <c r="M60">
        <f>G60*(1-VLOOKUP(J60,规则表!$A$10:$B$14,2,FALSE))</f>
        <v>5946.24</v>
      </c>
    </row>
    <row r="61" spans="1:13">
      <c r="A61" s="33">
        <v>4</v>
      </c>
      <c r="B61" s="33">
        <v>1</v>
      </c>
      <c r="C61" s="33">
        <v>60</v>
      </c>
      <c r="D61" s="33" t="s">
        <v>257</v>
      </c>
      <c r="E61" s="33" t="s">
        <v>189</v>
      </c>
      <c r="F61" s="33" t="s">
        <v>253</v>
      </c>
      <c r="G61" s="33">
        <v>7425</v>
      </c>
      <c r="H61" s="33">
        <v>2600</v>
      </c>
      <c r="I61" s="33">
        <v>2</v>
      </c>
      <c r="J61" s="33">
        <v>2</v>
      </c>
      <c r="K61" s="33" t="s">
        <v>262</v>
      </c>
      <c r="L61">
        <f t="shared" si="1"/>
        <v>13</v>
      </c>
      <c r="M61">
        <f>G61*(1-VLOOKUP(J61,规则表!$A$10:$B$14,2,FALSE))</f>
        <v>7128</v>
      </c>
    </row>
    <row r="62" spans="1:13">
      <c r="A62" s="33">
        <v>4</v>
      </c>
      <c r="B62" s="33">
        <v>1</v>
      </c>
      <c r="C62" s="33">
        <v>61</v>
      </c>
      <c r="D62" s="33" t="s">
        <v>257</v>
      </c>
      <c r="E62" s="33" t="s">
        <v>189</v>
      </c>
      <c r="F62" s="33" t="s">
        <v>255</v>
      </c>
      <c r="G62" s="33">
        <v>8051</v>
      </c>
      <c r="H62" s="33">
        <v>2300</v>
      </c>
      <c r="I62" s="33">
        <v>4</v>
      </c>
      <c r="J62" s="33">
        <v>1</v>
      </c>
      <c r="K62" s="33" t="s">
        <v>262</v>
      </c>
      <c r="L62">
        <f t="shared" si="1"/>
        <v>13</v>
      </c>
      <c r="M62">
        <f>G62*(1-VLOOKUP(J62,规则表!$A$10:$B$14,2,FALSE))</f>
        <v>7889.98</v>
      </c>
    </row>
    <row r="63" spans="1:13">
      <c r="A63" s="33">
        <v>4</v>
      </c>
      <c r="B63" s="33">
        <v>1</v>
      </c>
      <c r="C63" s="33">
        <v>62</v>
      </c>
      <c r="D63" s="33" t="s">
        <v>260</v>
      </c>
      <c r="E63" s="33" t="s">
        <v>190</v>
      </c>
      <c r="F63" s="33" t="s">
        <v>253</v>
      </c>
      <c r="G63" s="33">
        <v>10282</v>
      </c>
      <c r="H63" s="33">
        <v>1400</v>
      </c>
      <c r="I63" s="33">
        <v>3</v>
      </c>
      <c r="J63" s="33">
        <v>2</v>
      </c>
      <c r="K63" s="33" t="s">
        <v>262</v>
      </c>
      <c r="L63">
        <f t="shared" si="1"/>
        <v>13</v>
      </c>
      <c r="M63">
        <f>G63*(1-VLOOKUP(J63,规则表!$A$10:$B$14,2,FALSE))</f>
        <v>9870.7199999999993</v>
      </c>
    </row>
    <row r="64" spans="1:13">
      <c r="A64" s="33">
        <v>4</v>
      </c>
      <c r="B64" s="33">
        <v>1</v>
      </c>
      <c r="C64" s="33">
        <v>63</v>
      </c>
      <c r="D64" s="33" t="s">
        <v>260</v>
      </c>
      <c r="E64" s="33" t="s">
        <v>190</v>
      </c>
      <c r="F64" s="33" t="s">
        <v>256</v>
      </c>
      <c r="G64" s="33">
        <v>11938</v>
      </c>
      <c r="H64" s="33">
        <v>2300</v>
      </c>
      <c r="I64" s="33">
        <v>4</v>
      </c>
      <c r="J64" s="33">
        <v>2</v>
      </c>
      <c r="K64" s="33" t="s">
        <v>262</v>
      </c>
      <c r="L64">
        <f t="shared" si="1"/>
        <v>13</v>
      </c>
      <c r="M64">
        <f>G64*(1-VLOOKUP(J64,规则表!$A$10:$B$14,2,FALSE))</f>
        <v>11460.48</v>
      </c>
    </row>
    <row r="65" spans="1:13">
      <c r="A65" s="33">
        <v>4</v>
      </c>
      <c r="B65" s="33">
        <v>1</v>
      </c>
      <c r="C65" s="33">
        <v>64</v>
      </c>
      <c r="D65" s="33" t="s">
        <v>260</v>
      </c>
      <c r="E65" s="33" t="s">
        <v>191</v>
      </c>
      <c r="F65" s="33" t="s">
        <v>253</v>
      </c>
      <c r="G65" s="33">
        <v>14500</v>
      </c>
      <c r="H65" s="33">
        <v>3800</v>
      </c>
      <c r="I65" s="33">
        <v>2</v>
      </c>
      <c r="J65" s="33">
        <v>4</v>
      </c>
      <c r="K65" s="33" t="s">
        <v>262</v>
      </c>
      <c r="L65">
        <f t="shared" si="1"/>
        <v>13</v>
      </c>
      <c r="M65">
        <f>G65*(1-VLOOKUP(J65,规则表!$A$10:$B$14,2,FALSE))</f>
        <v>13340</v>
      </c>
    </row>
    <row r="66" spans="1:13">
      <c r="A66" s="33">
        <v>4</v>
      </c>
      <c r="B66" s="33">
        <v>1</v>
      </c>
      <c r="C66" s="33">
        <v>65</v>
      </c>
      <c r="D66" s="33" t="s">
        <v>260</v>
      </c>
      <c r="E66" s="33" t="s">
        <v>191</v>
      </c>
      <c r="F66" s="33" t="s">
        <v>256</v>
      </c>
      <c r="G66" s="33">
        <v>15400</v>
      </c>
      <c r="H66" s="33">
        <v>4300</v>
      </c>
      <c r="I66" s="33">
        <v>1</v>
      </c>
      <c r="J66" s="33">
        <v>2</v>
      </c>
      <c r="K66" s="33" t="s">
        <v>262</v>
      </c>
      <c r="L66">
        <f t="shared" si="1"/>
        <v>13</v>
      </c>
      <c r="M66">
        <f>G66*(1-VLOOKUP(J66,规则表!$A$10:$B$14,2,FALSE))</f>
        <v>14784</v>
      </c>
    </row>
    <row r="67" spans="1:13">
      <c r="A67" s="33">
        <v>4</v>
      </c>
      <c r="B67" s="33">
        <v>1</v>
      </c>
      <c r="C67" s="33">
        <v>66</v>
      </c>
      <c r="D67" s="33" t="s">
        <v>261</v>
      </c>
      <c r="E67" s="33" t="s">
        <v>190</v>
      </c>
      <c r="F67" s="33" t="s">
        <v>255</v>
      </c>
      <c r="G67" s="33">
        <v>10613</v>
      </c>
      <c r="H67" s="33">
        <v>4720</v>
      </c>
      <c r="I67" s="33">
        <v>4</v>
      </c>
      <c r="J67" s="33">
        <v>1</v>
      </c>
      <c r="K67" s="33" t="s">
        <v>262</v>
      </c>
      <c r="L67">
        <f t="shared" si="1"/>
        <v>13</v>
      </c>
      <c r="M67">
        <f>G67*(1-VLOOKUP(J67,规则表!$A$10:$B$14,2,FALSE))</f>
        <v>10400.74</v>
      </c>
    </row>
    <row r="68" spans="1:13">
      <c r="A68" s="33">
        <v>4</v>
      </c>
      <c r="B68" s="33">
        <v>1</v>
      </c>
      <c r="C68" s="33">
        <v>67</v>
      </c>
      <c r="D68" s="33" t="s">
        <v>261</v>
      </c>
      <c r="E68" s="33" t="s">
        <v>190</v>
      </c>
      <c r="F68" s="33" t="s">
        <v>256</v>
      </c>
      <c r="G68" s="33">
        <v>11700</v>
      </c>
      <c r="H68" s="33">
        <v>1080</v>
      </c>
      <c r="I68" s="33">
        <v>3</v>
      </c>
      <c r="J68" s="33">
        <v>3</v>
      </c>
      <c r="K68" s="33" t="s">
        <v>262</v>
      </c>
      <c r="L68">
        <f t="shared" si="1"/>
        <v>13</v>
      </c>
      <c r="M68">
        <f>G68*(1-VLOOKUP(J68,规则表!$A$10:$B$14,2,FALSE))</f>
        <v>10998</v>
      </c>
    </row>
    <row r="69" spans="1:13">
      <c r="A69" s="33">
        <v>4</v>
      </c>
      <c r="B69" s="33">
        <v>1</v>
      </c>
      <c r="C69" s="33">
        <v>68</v>
      </c>
      <c r="D69" s="33" t="s">
        <v>261</v>
      </c>
      <c r="E69" s="33" t="s">
        <v>191</v>
      </c>
      <c r="F69" s="33" t="s">
        <v>253</v>
      </c>
      <c r="G69" s="33">
        <v>14560</v>
      </c>
      <c r="H69" s="33">
        <v>1920</v>
      </c>
      <c r="I69" s="33">
        <v>3</v>
      </c>
      <c r="J69" s="33">
        <v>2</v>
      </c>
      <c r="K69" s="33" t="s">
        <v>262</v>
      </c>
      <c r="L69">
        <f t="shared" si="1"/>
        <v>13</v>
      </c>
      <c r="M69">
        <f>G69*(1-VLOOKUP(J69,规则表!$A$10:$B$14,2,FALSE))</f>
        <v>13977.6</v>
      </c>
    </row>
    <row r="70" spans="1:13">
      <c r="A70" s="33">
        <v>4</v>
      </c>
      <c r="B70" s="33">
        <v>1</v>
      </c>
      <c r="C70" s="33">
        <v>69</v>
      </c>
      <c r="D70" s="33" t="s">
        <v>261</v>
      </c>
      <c r="E70" s="33" t="s">
        <v>191</v>
      </c>
      <c r="F70" s="33" t="s">
        <v>256</v>
      </c>
      <c r="G70" s="33">
        <v>15878</v>
      </c>
      <c r="H70" s="33">
        <v>3920</v>
      </c>
      <c r="I70" s="33">
        <v>4</v>
      </c>
      <c r="J70" s="33">
        <v>1</v>
      </c>
      <c r="K70" s="33" t="s">
        <v>262</v>
      </c>
      <c r="L70">
        <f t="shared" si="1"/>
        <v>13</v>
      </c>
      <c r="M70">
        <f>G70*(1-VLOOKUP(J70,规则表!$A$10:$B$14,2,FALSE))</f>
        <v>15560.44</v>
      </c>
    </row>
    <row r="71" spans="1:13">
      <c r="A71" s="33">
        <v>4</v>
      </c>
      <c r="B71" s="33">
        <v>1</v>
      </c>
      <c r="C71" s="33">
        <v>70</v>
      </c>
      <c r="D71" s="33" t="s">
        <v>261</v>
      </c>
      <c r="E71" s="33" t="s">
        <v>191</v>
      </c>
      <c r="F71" s="33" t="s">
        <v>255</v>
      </c>
      <c r="G71" s="33">
        <v>15160</v>
      </c>
      <c r="H71" s="33">
        <v>3200</v>
      </c>
      <c r="I71" s="33">
        <v>2</v>
      </c>
      <c r="J71" s="33">
        <v>2</v>
      </c>
      <c r="K71" s="33" t="s">
        <v>262</v>
      </c>
      <c r="L71">
        <f t="shared" si="1"/>
        <v>13</v>
      </c>
      <c r="M71">
        <f>G71*(1-VLOOKUP(J71,规则表!$A$10:$B$14,2,FALSE))</f>
        <v>14553.6</v>
      </c>
    </row>
    <row r="72" spans="1:13">
      <c r="A72" s="33">
        <v>4</v>
      </c>
      <c r="B72" s="33">
        <v>2</v>
      </c>
      <c r="C72" s="33">
        <v>71</v>
      </c>
      <c r="D72" s="33" t="s">
        <v>252</v>
      </c>
      <c r="E72" s="33" t="s">
        <v>189</v>
      </c>
      <c r="F72" s="33" t="s">
        <v>253</v>
      </c>
      <c r="G72" s="33">
        <v>7350</v>
      </c>
      <c r="H72" s="33">
        <v>6200</v>
      </c>
      <c r="I72" s="33">
        <v>4</v>
      </c>
      <c r="J72" s="33">
        <v>3</v>
      </c>
      <c r="K72" s="33" t="s">
        <v>262</v>
      </c>
      <c r="L72">
        <f t="shared" si="1"/>
        <v>14</v>
      </c>
      <c r="M72">
        <f>G72*(1-VLOOKUP(J72,规则表!$A$10:$B$14,2,FALSE))</f>
        <v>6909</v>
      </c>
    </row>
    <row r="73" spans="1:13">
      <c r="A73" s="33">
        <v>4</v>
      </c>
      <c r="B73" s="33">
        <v>2</v>
      </c>
      <c r="C73" s="33">
        <v>72</v>
      </c>
      <c r="D73" s="33" t="s">
        <v>252</v>
      </c>
      <c r="E73" s="33" t="s">
        <v>191</v>
      </c>
      <c r="F73" s="33" t="s">
        <v>255</v>
      </c>
      <c r="G73" s="33">
        <v>13378</v>
      </c>
      <c r="H73" s="33">
        <v>10000</v>
      </c>
      <c r="I73" s="33">
        <v>3</v>
      </c>
      <c r="J73" s="33">
        <v>1</v>
      </c>
      <c r="K73" s="33" t="s">
        <v>262</v>
      </c>
      <c r="L73">
        <f t="shared" si="1"/>
        <v>14</v>
      </c>
      <c r="M73">
        <f>G73*(1-VLOOKUP(J73,规则表!$A$10:$B$14,2,FALSE))</f>
        <v>13110.44</v>
      </c>
    </row>
    <row r="74" spans="1:13">
      <c r="A74" s="33">
        <v>4</v>
      </c>
      <c r="B74" s="33">
        <v>2</v>
      </c>
      <c r="C74" s="33">
        <v>73</v>
      </c>
      <c r="D74" s="33" t="s">
        <v>257</v>
      </c>
      <c r="E74" s="33" t="s">
        <v>190</v>
      </c>
      <c r="F74" s="33" t="s">
        <v>256</v>
      </c>
      <c r="G74" s="33">
        <v>10055</v>
      </c>
      <c r="H74" s="33">
        <v>4600</v>
      </c>
      <c r="I74" s="33">
        <v>2</v>
      </c>
      <c r="J74" s="33">
        <v>3</v>
      </c>
      <c r="K74" s="33" t="s">
        <v>262</v>
      </c>
      <c r="L74">
        <f t="shared" si="1"/>
        <v>14</v>
      </c>
      <c r="M74">
        <f>G74*(1-VLOOKUP(J74,规则表!$A$10:$B$14,2,FALSE))</f>
        <v>9451.6999999999989</v>
      </c>
    </row>
    <row r="75" spans="1:13">
      <c r="A75" s="33">
        <v>4</v>
      </c>
      <c r="B75" s="33">
        <v>2</v>
      </c>
      <c r="C75" s="33">
        <v>74</v>
      </c>
      <c r="D75" s="33" t="s">
        <v>257</v>
      </c>
      <c r="E75" s="33" t="s">
        <v>191</v>
      </c>
      <c r="F75" s="33" t="s">
        <v>253</v>
      </c>
      <c r="G75" s="33">
        <v>13065</v>
      </c>
      <c r="H75" s="33">
        <v>10000</v>
      </c>
      <c r="I75" s="33">
        <v>4</v>
      </c>
      <c r="J75" s="33">
        <v>3</v>
      </c>
      <c r="K75" s="33" t="s">
        <v>262</v>
      </c>
      <c r="L75">
        <f t="shared" si="1"/>
        <v>14</v>
      </c>
      <c r="M75">
        <f>G75*(1-VLOOKUP(J75,规则表!$A$10:$B$14,2,FALSE))</f>
        <v>12281.099999999999</v>
      </c>
    </row>
    <row r="76" spans="1:13">
      <c r="A76" s="33">
        <v>4</v>
      </c>
      <c r="B76" s="33">
        <v>2</v>
      </c>
      <c r="C76" s="33">
        <v>75</v>
      </c>
      <c r="D76" s="33" t="s">
        <v>260</v>
      </c>
      <c r="E76" s="33" t="s">
        <v>191</v>
      </c>
      <c r="F76" s="33" t="s">
        <v>256</v>
      </c>
      <c r="G76" s="33">
        <v>13834</v>
      </c>
      <c r="H76" s="33">
        <v>10000</v>
      </c>
      <c r="I76" s="33">
        <v>4</v>
      </c>
      <c r="J76" s="33">
        <v>3</v>
      </c>
      <c r="K76" s="33" t="s">
        <v>262</v>
      </c>
      <c r="L76">
        <f t="shared" si="1"/>
        <v>14</v>
      </c>
      <c r="M76">
        <f>G76*(1-VLOOKUP(J76,规则表!$A$10:$B$14,2,FALSE))</f>
        <v>13003.96</v>
      </c>
    </row>
    <row r="77" spans="1:13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M77">
        <f>G77*(1-VLOOKUP(J77,规则表!$A$10:$B$14,2,FALSE))</f>
        <v>0</v>
      </c>
    </row>
    <row r="78" spans="1:13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M78">
        <f>G78*(1-VLOOKUP(J78,规则表!$A$10:$B$14,2,FALSE))</f>
        <v>0</v>
      </c>
    </row>
    <row r="79" spans="1:13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M79">
        <f>G79*(1-VLOOKUP(J79,规则表!$A$10:$B$14,2,FALSE))</f>
        <v>0</v>
      </c>
    </row>
    <row r="80" spans="1:13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M80">
        <f>G80*(1-VLOOKUP(J80,规则表!$A$10:$B$14,2,FALSE))</f>
        <v>0</v>
      </c>
    </row>
    <row r="81" spans="1:13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M81">
        <f>G81*(1-VLOOKUP(J81,规则表!$A$10:$B$14,2,FALSE))</f>
        <v>0</v>
      </c>
    </row>
    <row r="82" spans="1:13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M82">
        <f>G82*(1-VLOOKUP(J82,规则表!$A$10:$B$14,2,FALSE))</f>
        <v>0</v>
      </c>
    </row>
    <row r="83" spans="1:1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M83">
        <f>G83*(1-VLOOKUP(J83,规则表!$A$10:$B$14,2,FALSE))</f>
        <v>0</v>
      </c>
    </row>
    <row r="84" spans="1:13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M84">
        <f>G84*(1-VLOOKUP(J84,规则表!$A$10:$B$14,2,FALSE))</f>
        <v>0</v>
      </c>
    </row>
    <row r="85" spans="1:13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M85">
        <f>G85*(1-VLOOKUP(J85,规则表!$A$10:$B$14,2,FALSE))</f>
        <v>0</v>
      </c>
    </row>
    <row r="86" spans="1:13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M86">
        <f>G86*(1-VLOOKUP(J86,规则表!$A$10:$B$14,2,FALSE))</f>
        <v>0</v>
      </c>
    </row>
    <row r="87" spans="1:13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M87">
        <f>G87*(1-VLOOKUP(J87,规则表!$A$10:$B$14,2,FALSE))</f>
        <v>0</v>
      </c>
    </row>
    <row r="88" spans="1:13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M88">
        <f>G88*(1-VLOOKUP(J88,规则表!$A$10:$B$14,2,FALSE))</f>
        <v>0</v>
      </c>
    </row>
    <row r="89" spans="1:13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M89">
        <f>G89*(1-VLOOKUP(J89,规则表!$A$10:$B$14,2,FALSE))</f>
        <v>0</v>
      </c>
    </row>
    <row r="90" spans="1:13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M90">
        <f>G90*(1-VLOOKUP(J90,规则表!$A$10:$B$14,2,FALSE))</f>
        <v>0</v>
      </c>
    </row>
    <row r="91" spans="1:13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M91">
        <f>G91*(1-VLOOKUP(J91,规则表!$A$10:$B$14,2,FALSE))</f>
        <v>0</v>
      </c>
    </row>
    <row r="92" spans="1:13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M92">
        <f>G92*(1-VLOOKUP(J92,规则表!$A$10:$B$14,2,FALSE))</f>
        <v>0</v>
      </c>
    </row>
    <row r="93" spans="1:1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M93">
        <f>G93*(1-VLOOKUP(J93,规则表!$A$10:$B$14,2,FALSE))</f>
        <v>0</v>
      </c>
    </row>
    <row r="94" spans="1:13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M94">
        <f>G94*(1-VLOOKUP(J94,规则表!$A$10:$B$14,2,FALSE))</f>
        <v>0</v>
      </c>
    </row>
    <row r="95" spans="1:13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M95">
        <f>G95*(1-VLOOKUP(J95,规则表!$A$10:$B$14,2,FALSE))</f>
        <v>0</v>
      </c>
    </row>
    <row r="96" spans="1:13" ht="16.5">
      <c r="A96" s="33"/>
      <c r="B96" s="33"/>
      <c r="C96" s="33"/>
      <c r="D96" s="36"/>
      <c r="E96" s="33"/>
      <c r="F96" s="33"/>
      <c r="G96" s="33"/>
      <c r="H96" s="33"/>
      <c r="I96" s="33"/>
      <c r="J96" s="33"/>
      <c r="K96" s="33"/>
      <c r="M96">
        <f>G96*(1-VLOOKUP(J96,规则表!$A$10:$B$14,2,FALSE))</f>
        <v>0</v>
      </c>
    </row>
    <row r="97" spans="1:13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M97">
        <f>G97*(1-VLOOKUP(J97,规则表!$A$10:$B$14,2,FALSE))</f>
        <v>0</v>
      </c>
    </row>
    <row r="98" spans="1:13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M98">
        <f>G98*(1-VLOOKUP(J98,规则表!$A$10:$B$14,2,FALSE))</f>
        <v>0</v>
      </c>
    </row>
    <row r="99" spans="1:13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M99">
        <f>G99*(1-VLOOKUP(J99,规则表!$A$10:$B$14,2,FALSE))</f>
        <v>0</v>
      </c>
    </row>
    <row r="100" spans="1:13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M100">
        <f>G100*(1-VLOOKUP(J100,规则表!$A$10:$B$14,2,FALSE))</f>
        <v>0</v>
      </c>
    </row>
    <row r="101" spans="1:13">
      <c r="M101">
        <f>G101*(1-VLOOKUP(J101,规则表!$A$10:$B$14,2,FALSE))</f>
        <v>0</v>
      </c>
    </row>
    <row r="102" spans="1:13">
      <c r="M102">
        <f>G102*(1-VLOOKUP(J102,规则表!$A$10:$B$14,2,FALSE))</f>
        <v>0</v>
      </c>
    </row>
    <row r="103" spans="1:13">
      <c r="M103">
        <f>G103*(1-VLOOKUP(J103,规则表!$A$10:$B$14,2,FALSE))</f>
        <v>0</v>
      </c>
    </row>
    <row r="104" spans="1:13">
      <c r="M104">
        <f>G104*(1-VLOOKUP(J104,规则表!$A$10:$B$14,2,FALSE))</f>
        <v>0</v>
      </c>
    </row>
    <row r="105" spans="1:13">
      <c r="M105">
        <f>G105*(1-VLOOKUP(J105,规则表!$A$10:$B$14,2,FALSE))</f>
        <v>0</v>
      </c>
    </row>
    <row r="106" spans="1:13">
      <c r="M106">
        <f>G106*(1-VLOOKUP(J106,规则表!$A$10:$B$14,2,FALSE))</f>
        <v>0</v>
      </c>
    </row>
    <row r="107" spans="1:13">
      <c r="M107">
        <f>G107*(1-VLOOKUP(J107,规则表!$A$10:$B$14,2,FALSE))</f>
        <v>0</v>
      </c>
    </row>
    <row r="108" spans="1:13">
      <c r="M108">
        <f>G108*(1-VLOOKUP(J108,规则表!$A$10:$B$14,2,FALSE))</f>
        <v>0</v>
      </c>
    </row>
    <row r="109" spans="1:13">
      <c r="M109">
        <f>G109*(1-VLOOKUP(J109,规则表!$A$10:$B$14,2,FALSE))</f>
        <v>0</v>
      </c>
    </row>
    <row r="110" spans="1:13">
      <c r="M110">
        <f>G110*(1-VLOOKUP(J110,规则表!$A$10:$B$14,2,FALSE))</f>
        <v>0</v>
      </c>
    </row>
    <row r="111" spans="1:13">
      <c r="M111">
        <f>G111*(1-VLOOKUP(J111,规则表!$A$10:$B$14,2,FALSE))</f>
        <v>0</v>
      </c>
    </row>
    <row r="112" spans="1:13">
      <c r="M112">
        <f>G112*(1-VLOOKUP(J112,规则表!$A$10:$B$14,2,FALSE))</f>
        <v>0</v>
      </c>
    </row>
    <row r="113" spans="13:13">
      <c r="M113">
        <f>G113*(1-VLOOKUP(J113,规则表!$A$10:$B$14,2,FALSE))</f>
        <v>0</v>
      </c>
    </row>
    <row r="114" spans="13:13">
      <c r="M114">
        <f>G114*(1-VLOOKUP(J114,规则表!$A$10:$B$14,2,FALSE))</f>
        <v>0</v>
      </c>
    </row>
    <row r="115" spans="13:13">
      <c r="M115">
        <f>G115*(1-VLOOKUP(J115,规则表!$A$10:$B$14,2,FALSE))</f>
        <v>0</v>
      </c>
    </row>
    <row r="116" spans="13:13">
      <c r="M116">
        <f>G116*(1-VLOOKUP(J116,规则表!$A$10:$B$14,2,FALSE))</f>
        <v>0</v>
      </c>
    </row>
    <row r="117" spans="13:13">
      <c r="M117">
        <f>G117*(1-VLOOKUP(J117,规则表!$A$10:$B$14,2,FALSE))</f>
        <v>0</v>
      </c>
    </row>
    <row r="118" spans="13:13">
      <c r="M118">
        <f>G118*(1-VLOOKUP(J118,规则表!$A$10:$B$14,2,FALSE))</f>
        <v>0</v>
      </c>
    </row>
    <row r="119" spans="13:13">
      <c r="M119">
        <f>G119*(1-VLOOKUP(J119,规则表!$A$10:$B$14,2,FALSE))</f>
        <v>0</v>
      </c>
    </row>
    <row r="120" spans="13:13">
      <c r="M120">
        <f>G120*(1-VLOOKUP(J120,规则表!$A$10:$B$14,2,FALSE))</f>
        <v>0</v>
      </c>
    </row>
    <row r="121" spans="13:13">
      <c r="M121">
        <f>G121*(1-VLOOKUP(J121,规则表!$A$10:$B$14,2,FALSE))</f>
        <v>0</v>
      </c>
    </row>
    <row r="122" spans="13:13">
      <c r="M122">
        <f>G122*(1-VLOOKUP(J122,规则表!$A$10:$B$14,2,FALSE))</f>
        <v>0</v>
      </c>
    </row>
    <row r="123" spans="13:13">
      <c r="M123">
        <f>G123*(1-VLOOKUP(J123,规则表!$A$10:$B$14,2,FALSE))</f>
        <v>0</v>
      </c>
    </row>
    <row r="124" spans="13:13">
      <c r="M124">
        <f>G124*(1-VLOOKUP(J124,规则表!$A$10:$B$14,2,FALSE))</f>
        <v>0</v>
      </c>
    </row>
    <row r="125" spans="13:13">
      <c r="M125">
        <f>G125*(1-VLOOKUP(J125,规则表!$A$10:$B$14,2,FALSE))</f>
        <v>0</v>
      </c>
    </row>
    <row r="126" spans="13:13">
      <c r="M126">
        <f>G126*(1-VLOOKUP(J126,规则表!$A$10:$B$14,2,FALSE))</f>
        <v>0</v>
      </c>
    </row>
    <row r="127" spans="13:13">
      <c r="M127">
        <f>G127*(1-VLOOKUP(J127,规则表!$A$10:$B$14,2,FALSE))</f>
        <v>0</v>
      </c>
    </row>
    <row r="128" spans="13:13">
      <c r="M128">
        <f>G128*(1-VLOOKUP(J128,规则表!$A$10:$B$14,2,FALSE))</f>
        <v>0</v>
      </c>
    </row>
    <row r="129" spans="13:13">
      <c r="M129">
        <f>G129*(1-VLOOKUP(J129,规则表!$A$10:$B$14,2,FALSE))</f>
        <v>0</v>
      </c>
    </row>
    <row r="130" spans="13:13">
      <c r="M130">
        <f>G130*(1-VLOOKUP(J130,规则表!$A$10:$B$14,2,FALSE))</f>
        <v>0</v>
      </c>
    </row>
    <row r="131" spans="13:13">
      <c r="M131">
        <f>G131*(1-VLOOKUP(J131,规则表!$A$10:$B$14,2,FALSE))</f>
        <v>0</v>
      </c>
    </row>
    <row r="132" spans="13:13">
      <c r="M132">
        <f>G132*(1-VLOOKUP(J132,规则表!$A$10:$B$14,2,FALSE))</f>
        <v>0</v>
      </c>
    </row>
    <row r="133" spans="13:13">
      <c r="M133">
        <f>G133*(1-VLOOKUP(J133,规则表!$A$10:$B$14,2,FALSE))</f>
        <v>0</v>
      </c>
    </row>
    <row r="134" spans="13:13">
      <c r="M134">
        <f>G134*(1-VLOOKUP(J134,规则表!$A$10:$B$14,2,FALSE))</f>
        <v>0</v>
      </c>
    </row>
    <row r="135" spans="13:13">
      <c r="M135">
        <f>G135*(1-VLOOKUP(J135,规则表!$A$10:$B$14,2,FALSE))</f>
        <v>0</v>
      </c>
    </row>
    <row r="136" spans="13:13">
      <c r="M136">
        <f>G136*(1-VLOOKUP(J136,规则表!$A$10:$B$14,2,FALSE))</f>
        <v>0</v>
      </c>
    </row>
    <row r="137" spans="13:13">
      <c r="M137">
        <f>G137*(1-VLOOKUP(J137,规则表!$A$10:$B$14,2,FALSE))</f>
        <v>0</v>
      </c>
    </row>
    <row r="138" spans="13:13">
      <c r="M138">
        <f>G138*(1-VLOOKUP(J138,规则表!$A$10:$B$14,2,FALSE))</f>
        <v>0</v>
      </c>
    </row>
    <row r="139" spans="13:13">
      <c r="M139">
        <f>G139*(1-VLOOKUP(J139,规则表!$A$10:$B$14,2,FALSE))</f>
        <v>0</v>
      </c>
    </row>
    <row r="140" spans="13:13">
      <c r="M140">
        <f>G140*(1-VLOOKUP(J140,规则表!$A$10:$B$14,2,FALSE))</f>
        <v>0</v>
      </c>
    </row>
    <row r="141" spans="13:13">
      <c r="M141">
        <f>G141*(1-VLOOKUP(J141,规则表!$A$10:$B$14,2,FALSE))</f>
        <v>0</v>
      </c>
    </row>
    <row r="142" spans="13:13">
      <c r="M142">
        <f>G142*(1-VLOOKUP(J142,规则表!$A$10:$B$14,2,FALSE))</f>
        <v>0</v>
      </c>
    </row>
    <row r="143" spans="13:13">
      <c r="M143">
        <f>G143*(1-VLOOKUP(J143,规则表!$A$10:$B$14,2,FALSE))</f>
        <v>0</v>
      </c>
    </row>
    <row r="144" spans="13:13">
      <c r="M144">
        <f>G144*(1-VLOOKUP(J144,规则表!$A$10:$B$14,2,FALSE))</f>
        <v>0</v>
      </c>
    </row>
    <row r="145" spans="13:13">
      <c r="M145">
        <f>G145*(1-VLOOKUP(J145,规则表!$A$10:$B$14,2,FALSE))</f>
        <v>0</v>
      </c>
    </row>
    <row r="146" spans="13:13">
      <c r="M146">
        <f>G146*(1-VLOOKUP(J146,规则表!$A$10:$B$14,2,FALSE))</f>
        <v>0</v>
      </c>
    </row>
    <row r="147" spans="13:13">
      <c r="M147">
        <f>G147*(1-VLOOKUP(J147,规则表!$A$10:$B$14,2,FALSE))</f>
        <v>0</v>
      </c>
    </row>
    <row r="148" spans="13:13">
      <c r="M148">
        <f>G148*(1-VLOOKUP(J148,规则表!$A$10:$B$14,2,FALSE))</f>
        <v>0</v>
      </c>
    </row>
    <row r="149" spans="13:13">
      <c r="M149">
        <f>G149*(1-VLOOKUP(J149,规则表!$A$10:$B$14,2,FALSE))</f>
        <v>0</v>
      </c>
    </row>
    <row r="150" spans="13:13">
      <c r="M150">
        <f>G150*(1-VLOOKUP(J150,规则表!$A$10:$B$14,2,FALSE))</f>
        <v>0</v>
      </c>
    </row>
    <row r="151" spans="13:13">
      <c r="M151">
        <f>G151*(1-VLOOKUP(J151,规则表!$A$10:$B$14,2,FALSE))</f>
        <v>0</v>
      </c>
    </row>
    <row r="152" spans="13:13">
      <c r="M152">
        <f>G152*(1-VLOOKUP(J152,规则表!$A$10:$B$14,2,FALSE))</f>
        <v>0</v>
      </c>
    </row>
    <row r="153" spans="13:13">
      <c r="M153">
        <f>G153*(1-VLOOKUP(J153,规则表!$A$10:$B$14,2,FALSE))</f>
        <v>0</v>
      </c>
    </row>
    <row r="154" spans="13:13">
      <c r="M154">
        <f>G154*(1-VLOOKUP(J154,规则表!$A$10:$B$14,2,FALSE))</f>
        <v>0</v>
      </c>
    </row>
    <row r="155" spans="13:13">
      <c r="M155">
        <f>G155*(1-VLOOKUP(J155,规则表!$A$10:$B$14,2,FALSE))</f>
        <v>0</v>
      </c>
    </row>
    <row r="156" spans="13:13">
      <c r="M156">
        <f>G156*(1-VLOOKUP(J156,规则表!$A$10:$B$14,2,FALSE))</f>
        <v>0</v>
      </c>
    </row>
    <row r="157" spans="13:13">
      <c r="M157">
        <f>G157*(1-VLOOKUP(J157,规则表!$A$10:$B$14,2,FALSE))</f>
        <v>0</v>
      </c>
    </row>
    <row r="158" spans="13:13">
      <c r="M158">
        <f>G158*(1-VLOOKUP(J158,规则表!$A$10:$B$14,2,FALSE))</f>
        <v>0</v>
      </c>
    </row>
    <row r="159" spans="13:13">
      <c r="M159">
        <f>G159*(1-VLOOKUP(J159,规则表!$A$10:$B$14,2,FALSE))</f>
        <v>0</v>
      </c>
    </row>
    <row r="160" spans="13:13">
      <c r="M160">
        <f>G160*(1-VLOOKUP(J160,规则表!$A$10:$B$14,2,FALSE))</f>
        <v>0</v>
      </c>
    </row>
  </sheetData>
  <sheetProtection formatCells="0" formatColumns="0" formatRows="0" insertColumns="0" insertRows="0" insertHyperlinks="0" deleteColumns="0" deleteRows="0" sort="0" autoFilter="0" pivotTables="0"/>
  <phoneticPr fontId="33" type="noConversion"/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9"/>
  <sheetViews>
    <sheetView zoomScale="103" zoomScaleNormal="103" workbookViewId="0">
      <selection activeCell="J40" sqref="J40"/>
    </sheetView>
  </sheetViews>
  <sheetFormatPr defaultColWidth="9.625" defaultRowHeight="13.5"/>
  <cols>
    <col min="1" max="3" width="9.625" style="2"/>
    <col min="4" max="4" width="9.625" style="25"/>
    <col min="5" max="16384" width="9.625" style="2"/>
  </cols>
  <sheetData>
    <row r="1" spans="1:18">
      <c r="A1" s="26" t="s">
        <v>263</v>
      </c>
      <c r="B1" s="27" t="s">
        <v>264</v>
      </c>
      <c r="C1" s="27" t="s">
        <v>265</v>
      </c>
      <c r="D1" s="28" t="s">
        <v>266</v>
      </c>
      <c r="E1" s="27" t="s">
        <v>267</v>
      </c>
      <c r="F1" s="27" t="s">
        <v>268</v>
      </c>
      <c r="G1" s="27" t="s">
        <v>269</v>
      </c>
      <c r="H1" s="27" t="s">
        <v>270</v>
      </c>
      <c r="I1" s="29" t="s">
        <v>271</v>
      </c>
      <c r="J1" s="30" t="s">
        <v>269</v>
      </c>
      <c r="K1" s="27" t="s">
        <v>270</v>
      </c>
      <c r="L1" s="29" t="s">
        <v>271</v>
      </c>
      <c r="M1" s="30" t="s">
        <v>269</v>
      </c>
      <c r="N1" s="27" t="s">
        <v>270</v>
      </c>
      <c r="O1" s="29" t="s">
        <v>271</v>
      </c>
      <c r="Q1" s="2" t="s">
        <v>181</v>
      </c>
      <c r="R1" s="2" t="s">
        <v>180</v>
      </c>
    </row>
    <row r="2" spans="1:18">
      <c r="A2" s="2">
        <f>ROW()-1</f>
        <v>1</v>
      </c>
      <c r="D2" s="25">
        <v>0.6</v>
      </c>
      <c r="G2" s="2" t="s">
        <v>181</v>
      </c>
      <c r="H2" s="2">
        <v>1</v>
      </c>
      <c r="I2" s="2">
        <f>(G2="激励")*(H2-D2)*规则表!$M$27*100+(G2="涨薪")*(H2-D2)*规则表!$M$28*100</f>
        <v>4000</v>
      </c>
      <c r="J2" s="2" t="s">
        <v>181</v>
      </c>
      <c r="K2" s="2">
        <v>1</v>
      </c>
      <c r="L2" s="2">
        <f>(J2="激励")*(K2-D2)*规则表!$M$27*100+(J2="涨薪")*(K2-D2)*规则表!$M$28*100</f>
        <v>4000</v>
      </c>
      <c r="M2" s="2" t="s">
        <v>181</v>
      </c>
      <c r="N2" s="2">
        <v>1</v>
      </c>
      <c r="O2" s="2">
        <f>(M2="激励")*(N2-D2)*规则表!$M$27*100+(M2="涨薪")*(N2-D2)*规则表!$M$28*100</f>
        <v>4000</v>
      </c>
    </row>
    <row r="3" spans="1:18">
      <c r="A3" s="2">
        <f t="shared" ref="A3:A12" si="0">ROW()-1</f>
        <v>2</v>
      </c>
      <c r="G3" s="2" t="s">
        <v>181</v>
      </c>
      <c r="H3" s="2">
        <v>1</v>
      </c>
      <c r="I3" s="2">
        <f>(G3="激励")*(H3-D3)*规则表!$M$27*100+(G3="涨薪")*(H3-D3)*规则表!$M$28*100</f>
        <v>10000</v>
      </c>
      <c r="J3" s="2" t="s">
        <v>181</v>
      </c>
      <c r="K3" s="2">
        <v>1</v>
      </c>
      <c r="L3" s="2">
        <f>(J3="激励")*(K3-D3)*规则表!$M$27*100+(J3="涨薪")*(K3-D3)*规则表!$M$28*100</f>
        <v>10000</v>
      </c>
      <c r="M3" s="2" t="s">
        <v>181</v>
      </c>
      <c r="N3" s="2">
        <v>1</v>
      </c>
      <c r="O3" s="2">
        <f>(M3="激励")*(N3-D3)*规则表!$M$27*100+(M3="涨薪")*(N3-D3)*规则表!$M$28*100</f>
        <v>10000</v>
      </c>
    </row>
    <row r="4" spans="1:18">
      <c r="A4" s="2">
        <f t="shared" si="0"/>
        <v>3</v>
      </c>
      <c r="G4" s="2" t="s">
        <v>181</v>
      </c>
      <c r="H4" s="2">
        <v>1</v>
      </c>
      <c r="I4" s="2">
        <f>(G4="激励")*(H4-D4)*规则表!$M$27*100+(G4="涨薪")*(H4-D4)*规则表!$M$28*100</f>
        <v>10000</v>
      </c>
      <c r="J4" s="2" t="s">
        <v>181</v>
      </c>
      <c r="K4" s="2">
        <v>1</v>
      </c>
      <c r="L4" s="2">
        <f>(J4="激励")*(K4-D4)*规则表!$M$27*100+(J4="涨薪")*(K4-D4)*规则表!$M$28*100</f>
        <v>10000</v>
      </c>
      <c r="M4" s="2" t="s">
        <v>181</v>
      </c>
      <c r="N4" s="2">
        <v>1</v>
      </c>
      <c r="O4" s="2">
        <f>(M4="激励")*(N4-D4)*规则表!$M$27*100+(M4="涨薪")*(N4-D4)*规则表!$M$28*100</f>
        <v>10000</v>
      </c>
    </row>
    <row r="5" spans="1:18">
      <c r="A5" s="2">
        <f t="shared" si="0"/>
        <v>4</v>
      </c>
      <c r="G5" s="2" t="s">
        <v>181</v>
      </c>
      <c r="H5" s="2">
        <v>1</v>
      </c>
      <c r="I5" s="2">
        <f>(G5="激励")*(H5-D5)*规则表!$M$27*100+(G5="涨薪")*(H5-D5)*规则表!$M$28*100</f>
        <v>10000</v>
      </c>
      <c r="J5" s="2" t="s">
        <v>181</v>
      </c>
      <c r="K5" s="2">
        <v>1</v>
      </c>
      <c r="L5" s="2">
        <f>(J5="激励")*(K5-D5)*规则表!$M$27*100+(J5="涨薪")*(K5-D5)*规则表!$M$28*100</f>
        <v>10000</v>
      </c>
      <c r="M5" s="2" t="s">
        <v>181</v>
      </c>
      <c r="N5" s="2">
        <v>1</v>
      </c>
      <c r="O5" s="2">
        <f>(M5="激励")*(N5-D5)*规则表!$M$27*100+(M5="涨薪")*(N5-D5)*规则表!$M$28*100</f>
        <v>10000</v>
      </c>
    </row>
    <row r="6" spans="1:18">
      <c r="A6" s="2">
        <f t="shared" si="0"/>
        <v>5</v>
      </c>
      <c r="G6" s="2" t="s">
        <v>181</v>
      </c>
      <c r="H6" s="2">
        <v>1</v>
      </c>
      <c r="I6" s="2">
        <f>(G6="激励")*(H6-D6)*规则表!$M$27*100+(G6="涨薪")*(H6-D6)*规则表!$M$28*100</f>
        <v>10000</v>
      </c>
      <c r="J6" s="2" t="s">
        <v>181</v>
      </c>
      <c r="K6" s="2">
        <v>1</v>
      </c>
      <c r="L6" s="2">
        <f>(J6="激励")*(K6-D6)*规则表!$M$27*100+(J6="涨薪")*(K6-D6)*规则表!$M$28*100</f>
        <v>10000</v>
      </c>
      <c r="M6" s="2" t="s">
        <v>181</v>
      </c>
      <c r="N6" s="2">
        <v>1</v>
      </c>
      <c r="O6" s="2">
        <f>(M6="激励")*(N6-D6)*规则表!$M$27*100+(M6="涨薪")*(N6-D6)*规则表!$M$28*100</f>
        <v>10000</v>
      </c>
    </row>
    <row r="7" spans="1:18">
      <c r="A7" s="2">
        <f t="shared" si="0"/>
        <v>6</v>
      </c>
      <c r="G7" s="2" t="s">
        <v>181</v>
      </c>
      <c r="H7" s="2">
        <v>1</v>
      </c>
      <c r="I7" s="2">
        <f>(G7="激励")*(H7-D7)*规则表!$M$27*100+(G7="涨薪")*(H7-D7)*规则表!$M$28*100</f>
        <v>10000</v>
      </c>
      <c r="J7" s="2" t="s">
        <v>181</v>
      </c>
      <c r="K7" s="2">
        <v>1</v>
      </c>
      <c r="L7" s="2">
        <f>(J7="激励")*(K7-D7)*规则表!$M$27*100+(J7="涨薪")*(K7-D7)*规则表!$M$28*100</f>
        <v>10000</v>
      </c>
      <c r="M7" s="2" t="s">
        <v>181</v>
      </c>
      <c r="N7" s="2">
        <v>1</v>
      </c>
      <c r="O7" s="2">
        <f>(M7="激励")*(N7-D7)*规则表!$M$27*100+(M7="涨薪")*(N7-D7)*规则表!$M$28*100</f>
        <v>10000</v>
      </c>
    </row>
    <row r="8" spans="1:18">
      <c r="A8" s="2">
        <f t="shared" si="0"/>
        <v>7</v>
      </c>
      <c r="G8" s="2" t="s">
        <v>181</v>
      </c>
      <c r="H8" s="2">
        <v>1</v>
      </c>
      <c r="I8" s="2">
        <f>(G8="激励")*(H8-D8)*规则表!$M$27*100+(G8="涨薪")*(H8-D8)*规则表!$M$28*100</f>
        <v>10000</v>
      </c>
      <c r="J8" s="2" t="s">
        <v>181</v>
      </c>
      <c r="K8" s="2">
        <v>1</v>
      </c>
      <c r="L8" s="2">
        <f>(J8="激励")*(K8-D8)*规则表!$M$27*100+(J8="涨薪")*(K8-D8)*规则表!$M$28*100</f>
        <v>10000</v>
      </c>
      <c r="M8" s="2" t="s">
        <v>181</v>
      </c>
      <c r="N8" s="2">
        <v>1</v>
      </c>
      <c r="O8" s="2">
        <f>(M8="激励")*(N8-D8)*规则表!$M$27*100+(M8="涨薪")*(N8-D8)*规则表!$M$28*100</f>
        <v>10000</v>
      </c>
    </row>
    <row r="9" spans="1:18">
      <c r="A9" s="2">
        <f t="shared" si="0"/>
        <v>8</v>
      </c>
      <c r="G9" s="2" t="s">
        <v>181</v>
      </c>
      <c r="H9" s="2">
        <v>1</v>
      </c>
      <c r="I9" s="2">
        <f>(G9="激励")*(H9-D9)*规则表!$M$27*100+(G9="涨薪")*(H9-D9)*规则表!$M$28*100</f>
        <v>10000</v>
      </c>
      <c r="J9" s="2" t="s">
        <v>181</v>
      </c>
      <c r="K9" s="2">
        <v>1</v>
      </c>
      <c r="L9" s="2">
        <f>(J9="激励")*(K9-D9)*规则表!$M$27*100+(J9="涨薪")*(K9-D9)*规则表!$M$28*100</f>
        <v>10000</v>
      </c>
      <c r="M9" s="2" t="s">
        <v>181</v>
      </c>
      <c r="N9" s="2">
        <v>1</v>
      </c>
      <c r="O9" s="2">
        <f>(M9="激励")*(N9-D9)*规则表!$M$27*100+(M9="涨薪")*(N9-D9)*规则表!$M$28*100</f>
        <v>10000</v>
      </c>
    </row>
    <row r="10" spans="1:18">
      <c r="A10" s="2">
        <f t="shared" si="0"/>
        <v>9</v>
      </c>
      <c r="G10" s="2" t="s">
        <v>181</v>
      </c>
      <c r="H10" s="2">
        <v>1</v>
      </c>
      <c r="I10" s="2">
        <f>(G10="激励")*(H10-D10)*规则表!$M$27*100+(G10="涨薪")*(H10-D10)*规则表!$M$28*100</f>
        <v>10000</v>
      </c>
      <c r="J10" s="2" t="s">
        <v>181</v>
      </c>
      <c r="K10" s="2">
        <v>1</v>
      </c>
      <c r="L10" s="2">
        <f>(J10="激励")*(K10-D10)*规则表!$M$27*100+(J10="涨薪")*(K10-D10)*规则表!$M$28*100</f>
        <v>10000</v>
      </c>
      <c r="M10" s="2" t="s">
        <v>181</v>
      </c>
      <c r="N10" s="2">
        <v>1</v>
      </c>
      <c r="O10" s="2">
        <f>(M10="激励")*(N10-D10)*规则表!$M$27*100+(M10="涨薪")*(N10-D10)*规则表!$M$28*100</f>
        <v>10000</v>
      </c>
    </row>
    <row r="11" spans="1:18" ht="12.95" customHeight="1">
      <c r="A11" s="2">
        <f t="shared" si="0"/>
        <v>10</v>
      </c>
      <c r="G11" s="2" t="s">
        <v>181</v>
      </c>
      <c r="H11" s="2">
        <v>1</v>
      </c>
      <c r="I11" s="2">
        <f>(G11="激励")*(H11-D11)*规则表!$M$27*100+(G11="涨薪")*(H11-D11)*规则表!$M$28*100</f>
        <v>10000</v>
      </c>
      <c r="J11" s="2" t="s">
        <v>181</v>
      </c>
      <c r="K11" s="2">
        <v>1</v>
      </c>
      <c r="L11" s="2">
        <f>(J11="激励")*(K11-D11)*规则表!$M$27*100+(J11="涨薪")*(K11-D11)*规则表!$M$28*100</f>
        <v>10000</v>
      </c>
      <c r="M11" s="2" t="s">
        <v>181</v>
      </c>
      <c r="N11" s="2">
        <v>1</v>
      </c>
      <c r="O11" s="2">
        <f>(M11="激励")*(N11-D11)*规则表!$M$27*100+(M11="涨薪")*(N11-D11)*规则表!$M$28*100</f>
        <v>10000</v>
      </c>
    </row>
    <row r="12" spans="1:18">
      <c r="A12" s="2">
        <f t="shared" si="0"/>
        <v>11</v>
      </c>
      <c r="G12" s="2" t="s">
        <v>181</v>
      </c>
      <c r="H12" s="2">
        <v>1</v>
      </c>
      <c r="I12" s="2">
        <f>(G12="激励")*(H12-D12)*规则表!$M$27*100+(G12="涨薪")*(H12-D12)*规则表!$M$28*100</f>
        <v>10000</v>
      </c>
      <c r="J12" s="2" t="s">
        <v>181</v>
      </c>
      <c r="K12" s="2">
        <v>1</v>
      </c>
      <c r="L12" s="2">
        <f>(J12="激励")*(K12-D12)*规则表!$M$27*100+(J12="涨薪")*(K12-D12)*规则表!$M$28*100</f>
        <v>10000</v>
      </c>
      <c r="M12" s="2" t="s">
        <v>181</v>
      </c>
      <c r="N12" s="2">
        <v>1</v>
      </c>
      <c r="O12" s="2">
        <f>(M12="激励")*(N12-D12)*规则表!$M$27*100+(M12="涨薪")*(N12-D12)*规则表!$M$28*100</f>
        <v>10000</v>
      </c>
    </row>
    <row r="13" spans="1:18">
      <c r="A13" s="2">
        <f t="shared" ref="A13:A22" si="1">ROW()-1</f>
        <v>12</v>
      </c>
      <c r="G13" s="2" t="s">
        <v>181</v>
      </c>
      <c r="H13" s="2">
        <v>1</v>
      </c>
      <c r="I13" s="2">
        <f>(G13="激励")*(H13-D13)*规则表!$M$27*100+(G13="涨薪")*(H13-D13)*规则表!$M$28*100</f>
        <v>10000</v>
      </c>
      <c r="J13" s="2" t="s">
        <v>181</v>
      </c>
      <c r="K13" s="2">
        <v>1</v>
      </c>
      <c r="L13" s="2">
        <f>(J13="激励")*(K13-D13)*规则表!$M$27*100+(J13="涨薪")*(K13-D13)*规则表!$M$28*100</f>
        <v>10000</v>
      </c>
      <c r="M13" s="2" t="s">
        <v>181</v>
      </c>
      <c r="N13" s="2">
        <v>1</v>
      </c>
      <c r="O13" s="2">
        <f>(M13="激励")*(N13-D13)*规则表!$M$27*100+(M13="涨薪")*(N13-D13)*规则表!$M$28*100</f>
        <v>10000</v>
      </c>
    </row>
    <row r="14" spans="1:18">
      <c r="A14" s="2">
        <f t="shared" si="1"/>
        <v>13</v>
      </c>
      <c r="G14" s="2" t="s">
        <v>181</v>
      </c>
      <c r="H14" s="2">
        <v>1</v>
      </c>
      <c r="I14" s="2">
        <f>(G14="激励")*(H14-D14)*规则表!$M$27*100+(G14="涨薪")*(H14-D14)*规则表!$M$28*100</f>
        <v>10000</v>
      </c>
      <c r="J14" s="2" t="s">
        <v>181</v>
      </c>
      <c r="K14" s="2">
        <v>1</v>
      </c>
      <c r="L14" s="2">
        <f>(J14="激励")*(K14-D14)*规则表!$M$27*100+(J14="涨薪")*(K14-D14)*规则表!$M$28*100</f>
        <v>10000</v>
      </c>
      <c r="M14" s="2" t="s">
        <v>181</v>
      </c>
      <c r="N14" s="2">
        <v>1</v>
      </c>
      <c r="O14" s="2">
        <f>(M14="激励")*(N14-D14)*规则表!$M$27*100+(M14="涨薪")*(N14-D14)*规则表!$M$28*100</f>
        <v>10000</v>
      </c>
    </row>
    <row r="15" spans="1:18">
      <c r="A15" s="2">
        <f t="shared" si="1"/>
        <v>14</v>
      </c>
      <c r="G15" s="2" t="s">
        <v>181</v>
      </c>
      <c r="H15" s="2">
        <v>1</v>
      </c>
      <c r="I15" s="2">
        <f>(G15="激励")*(H15-D15)*规则表!$M$27*100+(G15="涨薪")*(H15-D15)*规则表!$M$28*100</f>
        <v>10000</v>
      </c>
      <c r="J15" s="2" t="s">
        <v>181</v>
      </c>
      <c r="K15" s="2">
        <v>1</v>
      </c>
      <c r="L15" s="2">
        <f>(J15="激励")*(K15-D15)*规则表!$M$27*100+(J15="涨薪")*(K15-D15)*规则表!$M$28*100</f>
        <v>10000</v>
      </c>
      <c r="M15" s="2" t="s">
        <v>181</v>
      </c>
      <c r="N15" s="2">
        <v>1</v>
      </c>
      <c r="O15" s="2">
        <f>(M15="激励")*(N15-D15)*规则表!$M$27*100+(M15="涨薪")*(N15-D15)*规则表!$M$28*100</f>
        <v>10000</v>
      </c>
    </row>
    <row r="16" spans="1:18">
      <c r="A16" s="2">
        <f t="shared" si="1"/>
        <v>15</v>
      </c>
      <c r="G16" s="2" t="s">
        <v>181</v>
      </c>
      <c r="H16" s="2">
        <v>1</v>
      </c>
      <c r="I16" s="2">
        <f>(G16="激励")*(H16-D16)*规则表!$M$27*100+(G16="涨薪")*(H16-D16)*规则表!$M$28*100</f>
        <v>10000</v>
      </c>
      <c r="J16" s="2" t="s">
        <v>181</v>
      </c>
      <c r="K16" s="2">
        <v>1</v>
      </c>
      <c r="L16" s="2">
        <f>(J16="激励")*(K16-D16)*规则表!$M$27*100+(J16="涨薪")*(K16-D16)*规则表!$M$28*100</f>
        <v>10000</v>
      </c>
      <c r="M16" s="2" t="s">
        <v>181</v>
      </c>
      <c r="N16" s="2">
        <v>1</v>
      </c>
      <c r="O16" s="2">
        <f>(M16="激励")*(N16-D16)*规则表!$M$27*100+(M16="涨薪")*(N16-D16)*规则表!$M$28*100</f>
        <v>10000</v>
      </c>
    </row>
    <row r="17" spans="1:15">
      <c r="A17" s="2">
        <f t="shared" si="1"/>
        <v>16</v>
      </c>
      <c r="G17" s="2" t="s">
        <v>181</v>
      </c>
      <c r="H17" s="2">
        <v>1</v>
      </c>
      <c r="I17" s="2">
        <f>(G17="激励")*(H17-D17)*规则表!$M$27*100+(G17="涨薪")*(H17-D17)*规则表!$M$28*100</f>
        <v>10000</v>
      </c>
      <c r="J17" s="2" t="s">
        <v>181</v>
      </c>
      <c r="K17" s="2">
        <v>1</v>
      </c>
      <c r="L17" s="2">
        <f>(J17="激励")*(K17-D17)*规则表!$M$27*100+(J17="涨薪")*(K17-D17)*规则表!$M$28*100</f>
        <v>10000</v>
      </c>
      <c r="M17" s="2" t="s">
        <v>181</v>
      </c>
      <c r="N17" s="2">
        <v>1</v>
      </c>
      <c r="O17" s="2">
        <f>(M17="激励")*(N17-D17)*规则表!$M$27*100+(M17="涨薪")*(N17-D17)*规则表!$M$28*100</f>
        <v>10000</v>
      </c>
    </row>
    <row r="18" spans="1:15">
      <c r="A18" s="2">
        <f t="shared" si="1"/>
        <v>17</v>
      </c>
      <c r="G18" s="2" t="s">
        <v>181</v>
      </c>
      <c r="H18" s="2">
        <v>1</v>
      </c>
      <c r="I18" s="2">
        <f>(G18="激励")*(H18-D18)*规则表!$M$27*100+(G18="涨薪")*(H18-D18)*规则表!$M$28*100</f>
        <v>10000</v>
      </c>
      <c r="J18" s="2" t="s">
        <v>181</v>
      </c>
      <c r="K18" s="2">
        <v>1</v>
      </c>
      <c r="L18" s="2">
        <f>(J18="激励")*(K18-D18)*规则表!$M$27*100+(J18="涨薪")*(K18-D18)*规则表!$M$28*100</f>
        <v>10000</v>
      </c>
      <c r="M18" s="2" t="s">
        <v>181</v>
      </c>
      <c r="N18" s="2">
        <v>1</v>
      </c>
      <c r="O18" s="2">
        <f>(M18="激励")*(N18-D18)*规则表!$M$27*100+(M18="涨薪")*(N18-D18)*规则表!$M$28*100</f>
        <v>10000</v>
      </c>
    </row>
    <row r="19" spans="1:15">
      <c r="A19" s="2">
        <f t="shared" si="1"/>
        <v>18</v>
      </c>
      <c r="G19" s="2" t="s">
        <v>181</v>
      </c>
      <c r="H19" s="2">
        <v>1</v>
      </c>
      <c r="I19" s="2">
        <f>(G19="激励")*(H19-D19)*规则表!$M$27*100+(G19="涨薪")*(H19-D19)*规则表!$M$28*100</f>
        <v>10000</v>
      </c>
      <c r="J19" s="2" t="s">
        <v>181</v>
      </c>
      <c r="K19" s="2">
        <v>1</v>
      </c>
      <c r="L19" s="2">
        <f>(J19="激励")*(K19-D19)*规则表!$M$27*100+(J19="涨薪")*(K19-D19)*规则表!$M$28*100</f>
        <v>10000</v>
      </c>
      <c r="M19" s="2" t="s">
        <v>181</v>
      </c>
      <c r="N19" s="2">
        <v>1</v>
      </c>
      <c r="O19" s="2">
        <f>(M19="激励")*(N19-D19)*规则表!$M$27*100+(M19="涨薪")*(N19-D19)*规则表!$M$28*100</f>
        <v>10000</v>
      </c>
    </row>
    <row r="20" spans="1:15">
      <c r="A20" s="2">
        <f t="shared" si="1"/>
        <v>19</v>
      </c>
      <c r="G20" s="2" t="s">
        <v>181</v>
      </c>
      <c r="H20" s="2">
        <v>1</v>
      </c>
      <c r="I20" s="2">
        <f>(G20="激励")*(H20-D20)*规则表!$M$27*100+(G20="涨薪")*(H20-D20)*规则表!$M$28*100</f>
        <v>10000</v>
      </c>
      <c r="J20" s="2" t="s">
        <v>181</v>
      </c>
      <c r="K20" s="2">
        <v>1</v>
      </c>
      <c r="L20" s="2">
        <f>(J20="激励")*(K20-D20)*规则表!$M$27*100+(J20="涨薪")*(K20-D20)*规则表!$M$28*100</f>
        <v>10000</v>
      </c>
      <c r="M20" s="2" t="s">
        <v>181</v>
      </c>
      <c r="N20" s="2">
        <v>1</v>
      </c>
      <c r="O20" s="2">
        <f>(M20="激励")*(N20-D20)*规则表!$M$27*100+(M20="涨薪")*(N20-D20)*规则表!$M$28*100</f>
        <v>10000</v>
      </c>
    </row>
    <row r="21" spans="1:15">
      <c r="A21" s="2">
        <f t="shared" si="1"/>
        <v>20</v>
      </c>
      <c r="G21" s="2" t="s">
        <v>181</v>
      </c>
      <c r="H21" s="2">
        <v>1</v>
      </c>
      <c r="I21" s="2">
        <f>(G21="激励")*(H21-D21)*规则表!$M$27*100+(G21="涨薪")*(H21-D21)*规则表!$M$28*100</f>
        <v>10000</v>
      </c>
      <c r="J21" s="2" t="s">
        <v>181</v>
      </c>
      <c r="K21" s="2">
        <v>1</v>
      </c>
      <c r="L21" s="2">
        <f>(J21="激励")*(K21-D21)*规则表!$M$27*100+(J21="涨薪")*(K21-D21)*规则表!$M$28*100</f>
        <v>10000</v>
      </c>
      <c r="M21" s="2" t="s">
        <v>181</v>
      </c>
      <c r="N21" s="2">
        <v>1</v>
      </c>
      <c r="O21" s="2">
        <f>(M21="激励")*(N21-D21)*规则表!$M$27*100+(M21="涨薪")*(N21-D21)*规则表!$M$28*100</f>
        <v>10000</v>
      </c>
    </row>
    <row r="22" spans="1:15">
      <c r="A22" s="2">
        <f t="shared" si="1"/>
        <v>21</v>
      </c>
      <c r="G22" s="2" t="s">
        <v>181</v>
      </c>
      <c r="H22" s="2">
        <v>1</v>
      </c>
      <c r="I22" s="2">
        <f>(G22="激励")*(H22-D22)*规则表!$M$27*100+(G22="涨薪")*(H22-D22)*规则表!$M$28*100</f>
        <v>10000</v>
      </c>
      <c r="J22" s="2" t="s">
        <v>181</v>
      </c>
      <c r="K22" s="2">
        <v>1</v>
      </c>
      <c r="L22" s="2">
        <f>(J22="激励")*(K22-D22)*规则表!$M$27*100+(J22="涨薪")*(K22-D22)*规则表!$M$28*100</f>
        <v>10000</v>
      </c>
      <c r="M22" s="2" t="s">
        <v>181</v>
      </c>
      <c r="N22" s="2">
        <v>1</v>
      </c>
      <c r="O22" s="2">
        <f>(M22="激励")*(N22-D22)*规则表!$M$27*100+(M22="涨薪")*(N22-D22)*规则表!$M$28*100</f>
        <v>10000</v>
      </c>
    </row>
    <row r="23" spans="1:15">
      <c r="A23" s="2">
        <f t="shared" ref="A23:A32" si="2">ROW()-1</f>
        <v>22</v>
      </c>
      <c r="G23" s="2" t="s">
        <v>181</v>
      </c>
      <c r="H23" s="2">
        <v>1</v>
      </c>
      <c r="I23" s="2">
        <f>(G23="激励")*(H23-D23)*规则表!$M$27*100+(G23="涨薪")*(H23-D23)*规则表!$M$28*100</f>
        <v>10000</v>
      </c>
      <c r="J23" s="2" t="s">
        <v>181</v>
      </c>
      <c r="K23" s="2">
        <v>1</v>
      </c>
      <c r="L23" s="2">
        <f>(J23="激励")*(K23-D23)*规则表!$M$27*100+(J23="涨薪")*(K23-D23)*规则表!$M$28*100</f>
        <v>10000</v>
      </c>
      <c r="M23" s="2" t="s">
        <v>181</v>
      </c>
      <c r="N23" s="2">
        <v>1</v>
      </c>
      <c r="O23" s="2">
        <f>(M23="激励")*(N23-D23)*规则表!$M$27*100+(M23="涨薪")*(N23-D23)*规则表!$M$28*100</f>
        <v>10000</v>
      </c>
    </row>
    <row r="24" spans="1:15" ht="12.95" customHeight="1">
      <c r="A24" s="2">
        <f t="shared" si="2"/>
        <v>23</v>
      </c>
      <c r="G24" s="2" t="s">
        <v>181</v>
      </c>
      <c r="H24" s="2">
        <v>1</v>
      </c>
      <c r="I24" s="2">
        <f>(G24="激励")*(H24-D24)*规则表!$M$27*100+(G24="涨薪")*(H24-D24)*规则表!$M$28*100</f>
        <v>10000</v>
      </c>
      <c r="J24" s="2" t="s">
        <v>181</v>
      </c>
      <c r="K24" s="2">
        <v>1</v>
      </c>
      <c r="L24" s="2">
        <f>(J24="激励")*(K24-D24)*规则表!$M$27*100+(J24="涨薪")*(K24-D24)*规则表!$M$28*100</f>
        <v>10000</v>
      </c>
      <c r="M24" s="2" t="s">
        <v>181</v>
      </c>
      <c r="N24" s="2">
        <v>1</v>
      </c>
      <c r="O24" s="2">
        <f>(M24="激励")*(N24-D24)*规则表!$M$27*100+(M24="涨薪")*(N24-D24)*规则表!$M$28*100</f>
        <v>10000</v>
      </c>
    </row>
    <row r="25" spans="1:15" ht="12.95" customHeight="1">
      <c r="A25" s="2">
        <f t="shared" si="2"/>
        <v>24</v>
      </c>
      <c r="G25" s="2" t="s">
        <v>181</v>
      </c>
      <c r="H25" s="2">
        <v>1</v>
      </c>
      <c r="I25" s="2">
        <f>(G25="激励")*(H25-D25)*规则表!$M$27*100+(G25="涨薪")*(H25-D25)*规则表!$M$28*100</f>
        <v>10000</v>
      </c>
      <c r="J25" s="2" t="s">
        <v>181</v>
      </c>
      <c r="K25" s="2">
        <v>1</v>
      </c>
      <c r="L25" s="2">
        <f>(J25="激励")*(K25-D25)*规则表!$M$27*100+(J25="涨薪")*(K25-D25)*规则表!$M$28*100</f>
        <v>10000</v>
      </c>
      <c r="M25" s="2" t="s">
        <v>181</v>
      </c>
      <c r="N25" s="2">
        <v>1</v>
      </c>
      <c r="O25" s="2">
        <f>(M25="激励")*(N25-D25)*规则表!$M$27*100+(M25="涨薪")*(N25-D25)*规则表!$M$28*100</f>
        <v>10000</v>
      </c>
    </row>
    <row r="26" spans="1:15">
      <c r="A26" s="2">
        <f t="shared" si="2"/>
        <v>25</v>
      </c>
      <c r="G26" s="2" t="s">
        <v>181</v>
      </c>
      <c r="H26" s="2">
        <v>1</v>
      </c>
      <c r="I26" s="2">
        <f>(G26="激励")*(H26-D26)*规则表!$M$27*100+(G26="涨薪")*(H26-D26)*规则表!$M$28*100</f>
        <v>10000</v>
      </c>
      <c r="J26" s="2" t="s">
        <v>181</v>
      </c>
      <c r="K26" s="2">
        <v>1</v>
      </c>
      <c r="L26" s="2">
        <f>(J26="激励")*(K26-D26)*规则表!$M$27*100+(J26="涨薪")*(K26-D26)*规则表!$M$28*100</f>
        <v>10000</v>
      </c>
      <c r="M26" s="2" t="s">
        <v>181</v>
      </c>
      <c r="N26" s="2">
        <v>1</v>
      </c>
      <c r="O26" s="2">
        <f>(M26="激励")*(N26-D26)*规则表!$M$27*100+(M26="涨薪")*(N26-D26)*规则表!$M$28*100</f>
        <v>10000</v>
      </c>
    </row>
    <row r="27" spans="1:15">
      <c r="A27" s="2">
        <f t="shared" si="2"/>
        <v>26</v>
      </c>
      <c r="G27" s="2" t="s">
        <v>181</v>
      </c>
      <c r="H27" s="2">
        <v>1</v>
      </c>
      <c r="I27" s="2">
        <f>(G27="激励")*(H27-D27)*规则表!$M$27*100+(G27="涨薪")*(H27-D27)*规则表!$M$28*100</f>
        <v>10000</v>
      </c>
      <c r="J27" s="2" t="s">
        <v>181</v>
      </c>
      <c r="K27" s="2">
        <v>1</v>
      </c>
      <c r="L27" s="2">
        <f>(J27="激励")*(K27-D27)*规则表!$M$27*100+(J27="涨薪")*(K27-D27)*规则表!$M$28*100</f>
        <v>10000</v>
      </c>
      <c r="M27" s="2" t="s">
        <v>181</v>
      </c>
      <c r="N27" s="2">
        <v>1</v>
      </c>
      <c r="O27" s="2">
        <f>(M27="激励")*(N27-D27)*规则表!$M$27*100+(M27="涨薪")*(N27-D27)*规则表!$M$28*100</f>
        <v>10000</v>
      </c>
    </row>
    <row r="28" spans="1:15">
      <c r="A28" s="2">
        <f t="shared" si="2"/>
        <v>27</v>
      </c>
      <c r="G28" s="2" t="s">
        <v>181</v>
      </c>
      <c r="H28" s="2">
        <v>1</v>
      </c>
      <c r="I28" s="2">
        <f>(G28="激励")*(H28-D28)*规则表!$M$27*100+(G28="涨薪")*(H28-D28)*规则表!$M$28*100</f>
        <v>10000</v>
      </c>
      <c r="J28" s="2" t="s">
        <v>181</v>
      </c>
      <c r="K28" s="2">
        <v>1</v>
      </c>
      <c r="L28" s="2">
        <f>(J28="激励")*(K28-D28)*规则表!$M$27*100+(J28="涨薪")*(K28-D28)*规则表!$M$28*100</f>
        <v>10000</v>
      </c>
      <c r="M28" s="2" t="s">
        <v>181</v>
      </c>
      <c r="N28" s="2">
        <v>1</v>
      </c>
      <c r="O28" s="2">
        <f>(M28="激励")*(N28-D28)*规则表!$M$27*100+(M28="涨薪")*(N28-D28)*规则表!$M$28*100</f>
        <v>10000</v>
      </c>
    </row>
    <row r="29" spans="1:15">
      <c r="A29" s="2">
        <f t="shared" si="2"/>
        <v>28</v>
      </c>
      <c r="G29" s="2" t="s">
        <v>181</v>
      </c>
      <c r="H29" s="2">
        <v>1</v>
      </c>
      <c r="I29" s="2">
        <f>(G29="激励")*(H29-D29)*规则表!$M$27*100+(G29="涨薪")*(H29-D29)*规则表!$M$28*100</f>
        <v>10000</v>
      </c>
      <c r="J29" s="2" t="s">
        <v>181</v>
      </c>
      <c r="K29" s="2">
        <v>1</v>
      </c>
      <c r="L29" s="2">
        <f>(J29="激励")*(K29-D29)*规则表!$M$27*100+(J29="涨薪")*(K29-D29)*规则表!$M$28*100</f>
        <v>10000</v>
      </c>
      <c r="M29" s="2" t="s">
        <v>181</v>
      </c>
      <c r="N29" s="2">
        <v>1</v>
      </c>
      <c r="O29" s="2">
        <f>(M29="激励")*(N29-D29)*规则表!$M$27*100+(M29="涨薪")*(N29-D29)*规则表!$M$28*100</f>
        <v>10000</v>
      </c>
    </row>
    <row r="30" spans="1:15">
      <c r="A30" s="2">
        <f t="shared" si="2"/>
        <v>29</v>
      </c>
      <c r="G30" s="2" t="s">
        <v>181</v>
      </c>
      <c r="H30" s="2">
        <v>1</v>
      </c>
      <c r="I30" s="2">
        <f>(G30="激励")*(H30-D30)*规则表!$M$27*100+(G30="涨薪")*(H30-D30)*规则表!$M$28*100</f>
        <v>10000</v>
      </c>
      <c r="J30" s="2" t="s">
        <v>181</v>
      </c>
      <c r="K30" s="2">
        <v>1</v>
      </c>
      <c r="L30" s="2">
        <f>(J30="激励")*(K30-D30)*规则表!$M$27*100+(J30="涨薪")*(K30-D30)*规则表!$M$28*100</f>
        <v>10000</v>
      </c>
      <c r="M30" s="2" t="s">
        <v>181</v>
      </c>
      <c r="N30" s="2">
        <v>1</v>
      </c>
      <c r="O30" s="2">
        <f>(M30="激励")*(N30-D30)*规则表!$M$27*100+(M30="涨薪")*(N30-D30)*规则表!$M$28*100</f>
        <v>10000</v>
      </c>
    </row>
    <row r="31" spans="1:15">
      <c r="A31" s="2">
        <f t="shared" si="2"/>
        <v>30</v>
      </c>
      <c r="G31" s="2" t="s">
        <v>181</v>
      </c>
      <c r="H31" s="2">
        <v>1</v>
      </c>
      <c r="I31" s="2">
        <f>(G31="激励")*(H31-D31)*规则表!$M$27*100+(G31="涨薪")*(H31-D31)*规则表!$M$28*100</f>
        <v>10000</v>
      </c>
      <c r="J31" s="2" t="s">
        <v>181</v>
      </c>
      <c r="K31" s="2">
        <v>1</v>
      </c>
      <c r="L31" s="2">
        <f>(J31="激励")*(K31-D31)*规则表!$M$27*100+(J31="涨薪")*(K31-D31)*规则表!$M$28*100</f>
        <v>10000</v>
      </c>
      <c r="M31" s="2" t="s">
        <v>181</v>
      </c>
      <c r="N31" s="2">
        <v>1</v>
      </c>
      <c r="O31" s="2">
        <f>(M31="激励")*(N31-D31)*规则表!$M$27*100+(M31="涨薪")*(N31-D31)*规则表!$M$28*100</f>
        <v>10000</v>
      </c>
    </row>
    <row r="32" spans="1:15">
      <c r="A32" s="2">
        <f t="shared" si="2"/>
        <v>31</v>
      </c>
      <c r="G32" s="2" t="s">
        <v>181</v>
      </c>
      <c r="H32" s="2">
        <v>1</v>
      </c>
      <c r="I32" s="2">
        <f>(G32="激励")*(H32-D32)*规则表!$M$27*100+(G32="涨薪")*(H32-D32)*规则表!$M$28*100</f>
        <v>10000</v>
      </c>
      <c r="J32" s="2" t="s">
        <v>181</v>
      </c>
      <c r="K32" s="2">
        <v>1</v>
      </c>
      <c r="L32" s="2">
        <f>(J32="激励")*(K32-D32)*规则表!$M$27*100+(J32="涨薪")*(K32-D32)*规则表!$M$28*100</f>
        <v>10000</v>
      </c>
      <c r="M32" s="2" t="s">
        <v>181</v>
      </c>
      <c r="N32" s="2">
        <v>1</v>
      </c>
      <c r="O32" s="2">
        <f>(M32="激励")*(N32-D32)*规则表!$M$27*100+(M32="涨薪")*(N32-D32)*规则表!$M$28*100</f>
        <v>10000</v>
      </c>
    </row>
    <row r="33" spans="1:15">
      <c r="A33" s="2">
        <f t="shared" ref="A33:A49" si="3">ROW()-1</f>
        <v>32</v>
      </c>
      <c r="G33" s="2" t="s">
        <v>181</v>
      </c>
      <c r="H33" s="2">
        <v>1</v>
      </c>
      <c r="I33" s="2">
        <f>(G33="激励")*(H33-D33)*规则表!$M$27*100+(G33="涨薪")*(H33-D33)*规则表!$M$28*100</f>
        <v>10000</v>
      </c>
      <c r="J33" s="2" t="s">
        <v>181</v>
      </c>
      <c r="K33" s="2">
        <v>1</v>
      </c>
      <c r="L33" s="2">
        <f>(J33="激励")*(K33-D33)*规则表!$M$27*100+(J33="涨薪")*(K33-D33)*规则表!$M$28*100</f>
        <v>10000</v>
      </c>
      <c r="M33" s="2" t="s">
        <v>181</v>
      </c>
      <c r="N33" s="2">
        <v>1</v>
      </c>
      <c r="O33" s="2">
        <f>(M33="激励")*(N33-D33)*规则表!$M$27*100+(M33="涨薪")*(N33-D33)*规则表!$M$28*100</f>
        <v>10000</v>
      </c>
    </row>
    <row r="34" spans="1:15">
      <c r="A34" s="2">
        <f t="shared" si="3"/>
        <v>33</v>
      </c>
      <c r="G34" s="2" t="s">
        <v>181</v>
      </c>
      <c r="H34" s="2">
        <v>1</v>
      </c>
      <c r="I34" s="2">
        <f>(G34="激励")*(H34-D34)*规则表!$M$27*100+(G34="涨薪")*(H34-D34)*规则表!$M$28*100</f>
        <v>10000</v>
      </c>
      <c r="J34" s="2" t="s">
        <v>181</v>
      </c>
      <c r="K34" s="2">
        <v>1</v>
      </c>
      <c r="L34" s="2">
        <f>(J34="激励")*(K34-D34)*规则表!$M$27*100+(J34="涨薪")*(K34-D34)*规则表!$M$28*100</f>
        <v>10000</v>
      </c>
      <c r="M34" s="2" t="s">
        <v>181</v>
      </c>
      <c r="N34" s="2">
        <v>1</v>
      </c>
      <c r="O34" s="2">
        <f>(M34="激励")*(N34-D34)*规则表!$M$27*100+(M34="涨薪")*(N34-D34)*规则表!$M$28*100</f>
        <v>10000</v>
      </c>
    </row>
    <row r="35" spans="1:15">
      <c r="A35" s="2">
        <f t="shared" si="3"/>
        <v>34</v>
      </c>
      <c r="G35" s="2" t="s">
        <v>181</v>
      </c>
      <c r="H35" s="2">
        <v>1</v>
      </c>
      <c r="I35" s="2">
        <f>(G35="激励")*(H35-D35)*规则表!$M$27*100+(G35="涨薪")*(H35-D35)*规则表!$M$28*100</f>
        <v>10000</v>
      </c>
      <c r="J35" s="2" t="s">
        <v>181</v>
      </c>
      <c r="K35" s="2">
        <v>1</v>
      </c>
      <c r="L35" s="2">
        <f>(J35="激励")*(K35-D35)*规则表!$M$27*100+(J35="涨薪")*(K35-D35)*规则表!$M$28*100</f>
        <v>10000</v>
      </c>
      <c r="M35" s="2" t="s">
        <v>181</v>
      </c>
      <c r="N35" s="2">
        <v>1</v>
      </c>
      <c r="O35" s="2">
        <f>(M35="激励")*(N35-D35)*规则表!$M$27*100+(M35="涨薪")*(N35-D35)*规则表!$M$28*100</f>
        <v>10000</v>
      </c>
    </row>
    <row r="36" spans="1:15">
      <c r="A36" s="2">
        <f t="shared" si="3"/>
        <v>35</v>
      </c>
      <c r="G36" s="2" t="s">
        <v>181</v>
      </c>
      <c r="H36" s="2">
        <v>1</v>
      </c>
      <c r="I36" s="2">
        <f>(G36="激励")*(H36-D36)*规则表!$M$27*100+(G36="涨薪")*(H36-D36)*规则表!$M$28*100</f>
        <v>10000</v>
      </c>
      <c r="J36" s="2" t="s">
        <v>181</v>
      </c>
      <c r="K36" s="2">
        <v>1</v>
      </c>
      <c r="L36" s="2">
        <f>(J36="激励")*(K36-D36)*规则表!$M$27*100+(J36="涨薪")*(K36-D36)*规则表!$M$28*100</f>
        <v>10000</v>
      </c>
      <c r="M36" s="2" t="s">
        <v>181</v>
      </c>
      <c r="N36" s="2">
        <v>1</v>
      </c>
      <c r="O36" s="2">
        <f>(M36="激励")*(N36-D36)*规则表!$M$27*100+(M36="涨薪")*(N36-D36)*规则表!$M$28*100</f>
        <v>10000</v>
      </c>
    </row>
    <row r="37" spans="1:15">
      <c r="A37" s="2">
        <f t="shared" si="3"/>
        <v>36</v>
      </c>
      <c r="G37" s="2" t="s">
        <v>181</v>
      </c>
      <c r="H37" s="2">
        <v>1</v>
      </c>
      <c r="I37" s="2">
        <f>(G37="激励")*(H37-D37)*规则表!$M$27*100+(G37="涨薪")*(H37-D37)*规则表!$M$28*100</f>
        <v>10000</v>
      </c>
      <c r="J37" s="2" t="s">
        <v>181</v>
      </c>
      <c r="K37" s="2">
        <v>1</v>
      </c>
      <c r="L37" s="2">
        <f>(J37="激励")*(K37-D37)*规则表!$M$27*100+(J37="涨薪")*(K37-D37)*规则表!$M$28*100</f>
        <v>10000</v>
      </c>
      <c r="M37" s="2" t="s">
        <v>181</v>
      </c>
      <c r="N37" s="2">
        <v>1</v>
      </c>
      <c r="O37" s="2">
        <f>(M37="激励")*(N37-D37)*规则表!$M$27*100+(M37="涨薪")*(N37-D37)*规则表!$M$28*100</f>
        <v>10000</v>
      </c>
    </row>
    <row r="38" spans="1:15">
      <c r="A38" s="2">
        <f t="shared" si="3"/>
        <v>37</v>
      </c>
      <c r="G38" s="2" t="s">
        <v>181</v>
      </c>
      <c r="H38" s="2">
        <v>1</v>
      </c>
      <c r="I38" s="2">
        <f>(G38="激励")*(H38-D38)*规则表!$M$27*100+(G38="涨薪")*(H38-D38)*规则表!$M$28*100</f>
        <v>10000</v>
      </c>
      <c r="J38" s="2" t="s">
        <v>181</v>
      </c>
      <c r="K38" s="2">
        <v>1</v>
      </c>
      <c r="L38" s="2">
        <f>(J38="激励")*(K38-D38)*规则表!$M$27*100+(J38="涨薪")*(K38-D38)*规则表!$M$28*100</f>
        <v>10000</v>
      </c>
      <c r="M38" s="2" t="s">
        <v>181</v>
      </c>
      <c r="N38" s="2">
        <v>1</v>
      </c>
      <c r="O38" s="2">
        <f>(M38="激励")*(N38-D38)*规则表!$M$27*100+(M38="涨薪")*(N38-D38)*规则表!$M$28*100</f>
        <v>10000</v>
      </c>
    </row>
    <row r="39" spans="1:15">
      <c r="A39" s="2">
        <f t="shared" si="3"/>
        <v>38</v>
      </c>
      <c r="G39" s="2" t="s">
        <v>181</v>
      </c>
      <c r="H39" s="2">
        <v>1</v>
      </c>
      <c r="I39" s="2">
        <f>(G39="激励")*(H39-D39)*规则表!$M$27*100+(G39="涨薪")*(H39-D39)*规则表!$M$28*100</f>
        <v>10000</v>
      </c>
      <c r="J39" s="2" t="s">
        <v>181</v>
      </c>
      <c r="K39" s="2">
        <v>1</v>
      </c>
      <c r="L39" s="2">
        <f>(J39="激励")*(K39-D39)*规则表!$M$27*100+(J39="涨薪")*(K39-D39)*规则表!$M$28*100</f>
        <v>10000</v>
      </c>
      <c r="M39" s="2" t="s">
        <v>181</v>
      </c>
      <c r="N39" s="2">
        <v>1</v>
      </c>
      <c r="O39" s="2">
        <f>(M39="激励")*(N39-D39)*规则表!$M$27*100+(M39="涨薪")*(N39-D39)*规则表!$M$28*100</f>
        <v>10000</v>
      </c>
    </row>
    <row r="40" spans="1:15">
      <c r="A40" s="2">
        <f t="shared" si="3"/>
        <v>39</v>
      </c>
      <c r="G40" s="2" t="s">
        <v>181</v>
      </c>
      <c r="H40" s="2">
        <v>1</v>
      </c>
      <c r="I40" s="2">
        <f>(G40="激励")*(H40-D40)*规则表!$M$27*100+(G40="涨薪")*(H40-D40)*规则表!$M$28*100</f>
        <v>10000</v>
      </c>
      <c r="J40" s="2" t="s">
        <v>181</v>
      </c>
      <c r="K40" s="2">
        <v>1</v>
      </c>
      <c r="L40" s="2">
        <f>(J40="激励")*(K40-D40)*规则表!$M$27*100+(J40="涨薪")*(K40-D40)*规则表!$M$28*100</f>
        <v>10000</v>
      </c>
      <c r="M40" s="2" t="s">
        <v>181</v>
      </c>
      <c r="N40" s="2">
        <v>1</v>
      </c>
      <c r="O40" s="2">
        <f>(M40="激励")*(N40-D40)*规则表!$M$27*100+(M40="涨薪")*(N40-D40)*规则表!$M$28*100</f>
        <v>10000</v>
      </c>
    </row>
    <row r="41" spans="1:15">
      <c r="A41" s="2">
        <f t="shared" si="3"/>
        <v>40</v>
      </c>
      <c r="G41" s="2" t="s">
        <v>181</v>
      </c>
      <c r="H41" s="2">
        <v>1</v>
      </c>
      <c r="I41" s="2">
        <f>(G41="激励")*(H41-D41)*规则表!$M$27*100+(G41="涨薪")*(H41-D41)*规则表!$M$28*100</f>
        <v>10000</v>
      </c>
      <c r="J41" s="2" t="s">
        <v>181</v>
      </c>
      <c r="K41" s="2">
        <v>1</v>
      </c>
      <c r="L41" s="2">
        <f>(J41="激励")*(K41-D41)*规则表!$M$27*100+(J41="涨薪")*(K41-D41)*规则表!$M$28*100</f>
        <v>10000</v>
      </c>
      <c r="M41" s="2" t="s">
        <v>181</v>
      </c>
      <c r="N41" s="2">
        <v>1</v>
      </c>
      <c r="O41" s="2">
        <f>(M41="激励")*(N41-D41)*规则表!$M$27*100+(M41="涨薪")*(N41-D41)*规则表!$M$28*100</f>
        <v>10000</v>
      </c>
    </row>
    <row r="42" spans="1:15">
      <c r="A42" s="2">
        <f t="shared" si="3"/>
        <v>41</v>
      </c>
      <c r="G42" s="2" t="s">
        <v>181</v>
      </c>
      <c r="H42" s="2">
        <v>1</v>
      </c>
      <c r="I42" s="2">
        <f>(G42="激励")*(H42-D42)*规则表!$M$27*100+(G42="涨薪")*(H42-D42)*规则表!$M$28*100</f>
        <v>10000</v>
      </c>
      <c r="J42" s="2" t="s">
        <v>181</v>
      </c>
      <c r="K42" s="2">
        <v>1</v>
      </c>
      <c r="L42" s="2">
        <f>(J42="激励")*(K42-D42)*规则表!$M$27*100+(J42="涨薪")*(K42-D42)*规则表!$M$28*100</f>
        <v>10000</v>
      </c>
      <c r="M42" s="2" t="s">
        <v>181</v>
      </c>
      <c r="N42" s="2">
        <v>1</v>
      </c>
      <c r="O42" s="2">
        <f>(M42="激励")*(N42-D42)*规则表!$M$27*100+(M42="涨薪")*(N42-D42)*规则表!$M$28*100</f>
        <v>10000</v>
      </c>
    </row>
    <row r="43" spans="1:15">
      <c r="A43" s="2">
        <f t="shared" si="3"/>
        <v>42</v>
      </c>
      <c r="G43" s="2" t="s">
        <v>181</v>
      </c>
      <c r="H43" s="2">
        <v>1</v>
      </c>
      <c r="I43" s="2">
        <f>(G43="激励")*(H43-D43)*规则表!$M$27*100+(G43="涨薪")*(H43-D43)*规则表!$M$28*100</f>
        <v>10000</v>
      </c>
      <c r="J43" s="2" t="s">
        <v>181</v>
      </c>
      <c r="K43" s="2">
        <v>1</v>
      </c>
      <c r="L43" s="2">
        <f>(J43="激励")*(K43-D43)*规则表!$M$27*100+(J43="涨薪")*(K43-D43)*规则表!$M$28*100</f>
        <v>10000</v>
      </c>
      <c r="M43" s="2" t="s">
        <v>181</v>
      </c>
      <c r="N43" s="2">
        <v>1</v>
      </c>
      <c r="O43" s="2">
        <f>(M43="激励")*(N43-D43)*规则表!$M$27*100+(M43="涨薪")*(N43-D43)*规则表!$M$28*100</f>
        <v>10000</v>
      </c>
    </row>
    <row r="44" spans="1:15">
      <c r="A44" s="2">
        <f t="shared" si="3"/>
        <v>43</v>
      </c>
      <c r="G44" s="2" t="s">
        <v>181</v>
      </c>
      <c r="H44" s="2">
        <v>1</v>
      </c>
      <c r="I44" s="2">
        <f>(G44="激励")*(H44-D44)*规则表!$M$27*100+(G44="涨薪")*(H44-D44)*规则表!$M$28*100</f>
        <v>10000</v>
      </c>
      <c r="J44" s="2" t="s">
        <v>181</v>
      </c>
      <c r="K44" s="2">
        <v>1</v>
      </c>
      <c r="L44" s="2">
        <f>(J44="激励")*(K44-D44)*规则表!$M$27*100+(J44="涨薪")*(K44-D44)*规则表!$M$28*100</f>
        <v>10000</v>
      </c>
      <c r="M44" s="2" t="s">
        <v>181</v>
      </c>
      <c r="N44" s="2">
        <v>1</v>
      </c>
      <c r="O44" s="2">
        <f>(M44="激励")*(N44-D44)*规则表!$M$27*100+(M44="涨薪")*(N44-D44)*规则表!$M$28*100</f>
        <v>10000</v>
      </c>
    </row>
    <row r="45" spans="1:15">
      <c r="A45" s="2">
        <f t="shared" si="3"/>
        <v>44</v>
      </c>
      <c r="G45" s="2" t="s">
        <v>181</v>
      </c>
      <c r="H45" s="2">
        <v>1</v>
      </c>
      <c r="I45" s="2">
        <f>(G45="激励")*(H45-D45)*规则表!$M$27*100+(G45="涨薪")*(H45-D45)*规则表!$M$28*100</f>
        <v>10000</v>
      </c>
      <c r="J45" s="2" t="s">
        <v>181</v>
      </c>
      <c r="K45" s="2">
        <v>1</v>
      </c>
      <c r="L45" s="2">
        <f>(J45="激励")*(K45-D45)*规则表!$M$27*100+(J45="涨薪")*(K45-D45)*规则表!$M$28*100</f>
        <v>10000</v>
      </c>
      <c r="M45" s="2" t="s">
        <v>181</v>
      </c>
      <c r="N45" s="2">
        <v>1</v>
      </c>
      <c r="O45" s="2">
        <f>(M45="激励")*(N45-D45)*规则表!$M$27*100+(M45="涨薪")*(N45-D45)*规则表!$M$28*100</f>
        <v>10000</v>
      </c>
    </row>
    <row r="46" spans="1:15">
      <c r="A46" s="2">
        <f t="shared" si="3"/>
        <v>45</v>
      </c>
      <c r="G46" s="2" t="s">
        <v>181</v>
      </c>
      <c r="H46" s="2">
        <v>1</v>
      </c>
      <c r="I46" s="2">
        <f>(G46="激励")*(H46-D46)*规则表!$M$27*100+(G46="涨薪")*(H46-D46)*规则表!$M$28*100</f>
        <v>10000</v>
      </c>
      <c r="J46" s="2" t="s">
        <v>181</v>
      </c>
      <c r="K46" s="2">
        <v>1</v>
      </c>
      <c r="L46" s="2">
        <f>(J46="激励")*(K46-D46)*规则表!$M$27*100+(J46="涨薪")*(K46-D46)*规则表!$M$28*100</f>
        <v>10000</v>
      </c>
      <c r="M46" s="2" t="s">
        <v>181</v>
      </c>
      <c r="N46" s="2">
        <v>1</v>
      </c>
      <c r="O46" s="2">
        <f>(M46="激励")*(N46-D46)*规则表!$M$27*100+(M46="涨薪")*(N46-D46)*规则表!$M$28*100</f>
        <v>10000</v>
      </c>
    </row>
    <row r="47" spans="1:15">
      <c r="A47" s="2">
        <f t="shared" si="3"/>
        <v>46</v>
      </c>
      <c r="G47" s="2" t="s">
        <v>181</v>
      </c>
      <c r="H47" s="2">
        <v>1</v>
      </c>
      <c r="I47" s="2">
        <f>(G47="激励")*(H47-D47)*规则表!$M$27*100+(G47="涨薪")*(H47-D47)*规则表!$M$28*100</f>
        <v>10000</v>
      </c>
      <c r="J47" s="2" t="s">
        <v>181</v>
      </c>
      <c r="K47" s="2">
        <v>1</v>
      </c>
      <c r="L47" s="2">
        <f>(J47="激励")*(K47-D47)*规则表!$M$27*100+(J47="涨薪")*(K47-D47)*规则表!$M$28*100</f>
        <v>10000</v>
      </c>
      <c r="M47" s="2" t="s">
        <v>181</v>
      </c>
      <c r="N47" s="2">
        <v>1</v>
      </c>
      <c r="O47" s="2">
        <f>(M47="激励")*(N47-D47)*规则表!$M$27*100+(M47="涨薪")*(N47-D47)*规则表!$M$28*100</f>
        <v>10000</v>
      </c>
    </row>
    <row r="48" spans="1:15">
      <c r="A48" s="2">
        <f t="shared" si="3"/>
        <v>47</v>
      </c>
      <c r="G48" s="2" t="s">
        <v>181</v>
      </c>
      <c r="H48" s="2">
        <v>1</v>
      </c>
      <c r="I48" s="2">
        <f>(G48="激励")*(H48-D48)*规则表!$M$27*100+(G48="涨薪")*(H48-D48)*规则表!$M$28*100</f>
        <v>10000</v>
      </c>
      <c r="J48" s="2" t="s">
        <v>181</v>
      </c>
      <c r="K48" s="2">
        <v>1</v>
      </c>
      <c r="L48" s="2">
        <f>(J48="激励")*(K48-D48)*规则表!$M$27*100+(J48="涨薪")*(K48-D48)*规则表!$M$28*100</f>
        <v>10000</v>
      </c>
      <c r="M48" s="2" t="s">
        <v>181</v>
      </c>
      <c r="N48" s="2">
        <v>1</v>
      </c>
      <c r="O48" s="2">
        <f>(M48="激励")*(N48-D48)*规则表!$M$27*100+(M48="涨薪")*(N48-D48)*规则表!$M$28*100</f>
        <v>10000</v>
      </c>
    </row>
    <row r="49" spans="1:15">
      <c r="A49" s="2">
        <f t="shared" si="3"/>
        <v>48</v>
      </c>
      <c r="G49" s="2" t="s">
        <v>181</v>
      </c>
      <c r="H49" s="2">
        <v>1</v>
      </c>
      <c r="I49" s="2">
        <f>(G49="激励")*(H49-D49)*规则表!$M$27*100+(G49="涨薪")*(H49-D49)*规则表!$M$28*100</f>
        <v>10000</v>
      </c>
      <c r="J49" s="2" t="s">
        <v>181</v>
      </c>
      <c r="K49" s="2">
        <v>1</v>
      </c>
      <c r="L49" s="2">
        <f>(J49="激励")*(K49-D49)*规则表!$M$27*100+(J49="涨薪")*(K49-D49)*规则表!$M$28*100</f>
        <v>10000</v>
      </c>
      <c r="M49" s="2" t="s">
        <v>181</v>
      </c>
      <c r="N49" s="2">
        <v>1</v>
      </c>
      <c r="O49" s="2">
        <f>(M49="激励")*(N49-D49)*规则表!$M$27*100+(M49="涨薪")*(N49-D49)*规则表!$M$28*100</f>
        <v>10000</v>
      </c>
    </row>
  </sheetData>
  <sheetProtection formatCells="0" formatColumns="0" formatRows="0" insertColumns="0" insertRows="0" insertHyperlinks="0" deleteColumns="0" deleteRows="0" sort="0" autoFilter="0" pivotTables="0"/>
  <phoneticPr fontId="3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9"/>
  <sheetViews>
    <sheetView zoomScale="145" zoomScaleNormal="145" workbookViewId="0">
      <selection activeCell="J40" sqref="J40"/>
    </sheetView>
  </sheetViews>
  <sheetFormatPr defaultColWidth="8.75" defaultRowHeight="13.5"/>
  <sheetData>
    <row r="1" spans="1:12">
      <c r="A1" s="18" t="s">
        <v>272</v>
      </c>
      <c r="B1" s="18" t="s">
        <v>230</v>
      </c>
      <c r="C1" s="18" t="s">
        <v>155</v>
      </c>
      <c r="D1" s="18" t="s">
        <v>273</v>
      </c>
      <c r="E1" s="18" t="s">
        <v>274</v>
      </c>
      <c r="F1" s="18" t="s">
        <v>233</v>
      </c>
      <c r="G1" s="18" t="s">
        <v>275</v>
      </c>
      <c r="H1" s="18" t="s">
        <v>67</v>
      </c>
      <c r="I1" s="18" t="s">
        <v>276</v>
      </c>
      <c r="J1" s="18" t="s">
        <v>236</v>
      </c>
      <c r="K1" s="18" t="s">
        <v>277</v>
      </c>
      <c r="L1" s="18" t="s">
        <v>278</v>
      </c>
    </row>
    <row r="2" spans="1:12">
      <c r="A2" s="19">
        <v>7</v>
      </c>
      <c r="B2" s="19" t="s">
        <v>279</v>
      </c>
      <c r="C2" s="19" t="s">
        <v>280</v>
      </c>
      <c r="D2" s="19" t="s">
        <v>281</v>
      </c>
      <c r="E2" s="20">
        <v>4050</v>
      </c>
      <c r="F2" s="20">
        <v>3000</v>
      </c>
      <c r="G2" s="19" t="s">
        <v>282</v>
      </c>
      <c r="H2" s="19" t="s">
        <v>283</v>
      </c>
      <c r="I2" s="20">
        <v>4050</v>
      </c>
      <c r="J2" s="19" t="s">
        <v>284</v>
      </c>
      <c r="K2" s="19">
        <v>810</v>
      </c>
      <c r="L2" s="19" t="s">
        <v>285</v>
      </c>
    </row>
    <row r="3" spans="1:12">
      <c r="A3" s="19">
        <v>7</v>
      </c>
      <c r="B3" s="19" t="s">
        <v>279</v>
      </c>
      <c r="C3" s="19" t="s">
        <v>280</v>
      </c>
      <c r="D3" s="19" t="s">
        <v>281</v>
      </c>
      <c r="E3" s="20">
        <v>4050</v>
      </c>
      <c r="F3" s="20">
        <v>3000</v>
      </c>
      <c r="G3" s="19" t="s">
        <v>282</v>
      </c>
      <c r="H3" s="19" t="s">
        <v>283</v>
      </c>
      <c r="I3" s="20">
        <v>4050</v>
      </c>
      <c r="J3" s="19" t="s">
        <v>284</v>
      </c>
      <c r="K3" s="19">
        <v>641</v>
      </c>
      <c r="L3" s="19" t="s">
        <v>286</v>
      </c>
    </row>
    <row r="4" spans="1:12">
      <c r="A4" s="19">
        <v>8</v>
      </c>
      <c r="B4" s="19" t="s">
        <v>279</v>
      </c>
      <c r="C4" s="19" t="s">
        <v>280</v>
      </c>
      <c r="D4" s="19" t="s">
        <v>287</v>
      </c>
      <c r="E4" s="20">
        <v>4040</v>
      </c>
      <c r="F4" s="20">
        <v>3000</v>
      </c>
      <c r="G4" s="19" t="s">
        <v>282</v>
      </c>
      <c r="H4" s="19" t="s">
        <v>283</v>
      </c>
      <c r="I4" s="20">
        <v>4040</v>
      </c>
      <c r="J4" s="19" t="s">
        <v>284</v>
      </c>
      <c r="K4" s="19">
        <v>624</v>
      </c>
      <c r="L4" s="19" t="s">
        <v>288</v>
      </c>
    </row>
    <row r="5" spans="1:12">
      <c r="A5" s="19">
        <v>8</v>
      </c>
      <c r="B5" s="19" t="s">
        <v>279</v>
      </c>
      <c r="C5" s="19" t="s">
        <v>280</v>
      </c>
      <c r="D5" s="19" t="s">
        <v>287</v>
      </c>
      <c r="E5" s="20">
        <v>4040</v>
      </c>
      <c r="F5" s="20">
        <v>3000</v>
      </c>
      <c r="G5" s="19" t="s">
        <v>282</v>
      </c>
      <c r="H5" s="19" t="s">
        <v>283</v>
      </c>
      <c r="I5" s="20">
        <v>4040</v>
      </c>
      <c r="J5" s="19" t="s">
        <v>284</v>
      </c>
      <c r="K5" s="19">
        <v>87</v>
      </c>
      <c r="L5" s="19" t="s">
        <v>289</v>
      </c>
    </row>
    <row r="6" spans="1:12">
      <c r="A6" s="19">
        <v>8</v>
      </c>
      <c r="B6" s="19" t="s">
        <v>279</v>
      </c>
      <c r="C6" s="19" t="s">
        <v>280</v>
      </c>
      <c r="D6" s="19" t="s">
        <v>287</v>
      </c>
      <c r="E6" s="20">
        <v>4040</v>
      </c>
      <c r="F6" s="20">
        <v>3000</v>
      </c>
      <c r="G6" s="19" t="s">
        <v>282</v>
      </c>
      <c r="H6" s="19" t="s">
        <v>283</v>
      </c>
      <c r="I6" s="20">
        <v>4040</v>
      </c>
      <c r="J6" s="19" t="s">
        <v>284</v>
      </c>
      <c r="K6" s="19">
        <v>640</v>
      </c>
      <c r="L6" s="19" t="s">
        <v>286</v>
      </c>
    </row>
    <row r="7" spans="1:12">
      <c r="A7" s="19">
        <v>8</v>
      </c>
      <c r="B7" s="19" t="s">
        <v>279</v>
      </c>
      <c r="C7" s="19" t="s">
        <v>280</v>
      </c>
      <c r="D7" s="19" t="s">
        <v>287</v>
      </c>
      <c r="E7" s="20">
        <v>4040</v>
      </c>
      <c r="F7" s="20">
        <v>3000</v>
      </c>
      <c r="G7" s="19" t="s">
        <v>282</v>
      </c>
      <c r="H7" s="19" t="s">
        <v>283</v>
      </c>
      <c r="I7" s="20">
        <v>4040</v>
      </c>
      <c r="J7" s="19" t="s">
        <v>284</v>
      </c>
      <c r="K7" s="19">
        <v>140</v>
      </c>
      <c r="L7" s="19" t="s">
        <v>290</v>
      </c>
    </row>
    <row r="8" spans="1:12">
      <c r="A8" s="19">
        <v>9</v>
      </c>
      <c r="B8" s="19" t="s">
        <v>279</v>
      </c>
      <c r="C8" s="19" t="s">
        <v>291</v>
      </c>
      <c r="D8" s="19" t="s">
        <v>281</v>
      </c>
      <c r="E8" s="20">
        <v>7350</v>
      </c>
      <c r="F8" s="20">
        <v>3000</v>
      </c>
      <c r="G8" s="19" t="s">
        <v>282</v>
      </c>
      <c r="H8" s="19" t="s">
        <v>283</v>
      </c>
      <c r="I8" s="20">
        <v>7350</v>
      </c>
      <c r="J8" s="19" t="s">
        <v>284</v>
      </c>
      <c r="K8" s="19">
        <v>390</v>
      </c>
      <c r="L8" s="19" t="s">
        <v>292</v>
      </c>
    </row>
    <row r="9" spans="1:12">
      <c r="A9" s="19">
        <v>10</v>
      </c>
      <c r="B9" s="19" t="s">
        <v>279</v>
      </c>
      <c r="C9" s="19" t="s">
        <v>291</v>
      </c>
      <c r="D9" s="19" t="s">
        <v>287</v>
      </c>
      <c r="E9" s="20">
        <v>7450</v>
      </c>
      <c r="F9" s="20">
        <v>3000</v>
      </c>
      <c r="G9" s="19" t="s">
        <v>282</v>
      </c>
      <c r="H9" s="19" t="s">
        <v>293</v>
      </c>
      <c r="I9" s="20">
        <v>7450</v>
      </c>
      <c r="J9" s="19" t="s">
        <v>284</v>
      </c>
      <c r="K9" s="19">
        <v>624</v>
      </c>
      <c r="L9" s="19" t="s">
        <v>288</v>
      </c>
    </row>
    <row r="10" spans="1:12">
      <c r="A10" s="19">
        <v>10</v>
      </c>
      <c r="B10" s="19" t="s">
        <v>279</v>
      </c>
      <c r="C10" s="19" t="s">
        <v>291</v>
      </c>
      <c r="D10" s="19" t="s">
        <v>287</v>
      </c>
      <c r="E10" s="20">
        <v>7450</v>
      </c>
      <c r="F10" s="20">
        <v>3000</v>
      </c>
      <c r="G10" s="19" t="s">
        <v>282</v>
      </c>
      <c r="H10" s="19" t="s">
        <v>293</v>
      </c>
      <c r="I10" s="20">
        <v>7450</v>
      </c>
      <c r="J10" s="19" t="s">
        <v>284</v>
      </c>
      <c r="K10" s="19">
        <v>116</v>
      </c>
      <c r="L10" s="19" t="s">
        <v>285</v>
      </c>
    </row>
    <row r="11" spans="1:12">
      <c r="A11" s="19">
        <v>10</v>
      </c>
      <c r="B11" s="19" t="s">
        <v>279</v>
      </c>
      <c r="C11" s="19" t="s">
        <v>291</v>
      </c>
      <c r="D11" s="19" t="s">
        <v>287</v>
      </c>
      <c r="E11" s="20">
        <v>7450</v>
      </c>
      <c r="F11" s="20">
        <v>3000</v>
      </c>
      <c r="G11" s="19" t="s">
        <v>282</v>
      </c>
      <c r="H11" s="19" t="s">
        <v>293</v>
      </c>
      <c r="I11" s="20">
        <v>7450</v>
      </c>
      <c r="J11" s="19" t="s">
        <v>284</v>
      </c>
      <c r="K11" s="19">
        <v>128</v>
      </c>
      <c r="L11" s="19" t="s">
        <v>290</v>
      </c>
    </row>
    <row r="12" spans="1:12">
      <c r="A12" s="19"/>
      <c r="B12" s="19"/>
      <c r="C12" s="19"/>
      <c r="D12" s="19"/>
      <c r="E12" s="20"/>
      <c r="F12" s="20"/>
      <c r="G12" s="19"/>
      <c r="H12" s="19"/>
      <c r="I12" s="20"/>
      <c r="J12" s="19"/>
      <c r="K12" s="19"/>
      <c r="L12" s="19"/>
    </row>
    <row r="13" spans="1:12">
      <c r="A13" s="19"/>
      <c r="B13" s="21"/>
      <c r="C13" s="21"/>
      <c r="D13" s="21"/>
      <c r="E13" s="22"/>
      <c r="F13" s="22"/>
      <c r="G13" s="21"/>
      <c r="H13" s="21"/>
      <c r="I13" s="22"/>
      <c r="J13" s="21"/>
      <c r="K13" s="21"/>
      <c r="L13" s="21"/>
    </row>
    <row r="14" spans="1:12">
      <c r="A14" s="19"/>
      <c r="B14" s="19"/>
      <c r="C14" s="19"/>
      <c r="D14" s="19"/>
      <c r="E14" s="20"/>
      <c r="F14" s="20"/>
      <c r="G14" s="19"/>
      <c r="H14" s="19"/>
      <c r="I14" s="20"/>
      <c r="J14" s="19"/>
      <c r="K14" s="19"/>
      <c r="L14" s="19"/>
    </row>
    <row r="15" spans="1:12">
      <c r="A15" s="19"/>
      <c r="B15" s="19"/>
      <c r="C15" s="19"/>
      <c r="D15" s="19"/>
      <c r="E15" s="20"/>
      <c r="F15" s="20"/>
      <c r="G15" s="19"/>
      <c r="H15" s="19"/>
      <c r="I15" s="20"/>
      <c r="J15" s="19"/>
      <c r="K15" s="19"/>
      <c r="L15" s="19"/>
    </row>
    <row r="16" spans="1:12">
      <c r="A16" s="19"/>
      <c r="B16" s="19"/>
      <c r="C16" s="19"/>
      <c r="D16" s="19"/>
      <c r="E16" s="20"/>
      <c r="F16" s="20"/>
      <c r="G16" s="19"/>
      <c r="H16" s="19"/>
      <c r="I16" s="20"/>
      <c r="J16" s="19"/>
      <c r="K16" s="19"/>
      <c r="L16" s="19"/>
    </row>
    <row r="17" spans="1:12">
      <c r="A17" s="19"/>
      <c r="B17" s="19"/>
      <c r="C17" s="21"/>
      <c r="D17" s="21"/>
      <c r="E17" s="22"/>
      <c r="F17" s="22"/>
      <c r="G17" s="21"/>
      <c r="H17" s="21"/>
      <c r="I17" s="22"/>
      <c r="J17" s="21"/>
      <c r="K17" s="21"/>
      <c r="L17" s="21"/>
    </row>
    <row r="18" spans="1:12">
      <c r="A18" s="23"/>
      <c r="B18" s="23"/>
      <c r="C18" s="23"/>
      <c r="D18" s="23"/>
      <c r="E18" s="24"/>
      <c r="F18" s="24"/>
      <c r="G18" s="23"/>
      <c r="H18" s="23"/>
      <c r="I18" s="24"/>
      <c r="J18" s="23"/>
      <c r="K18" s="23"/>
      <c r="L18" s="23"/>
    </row>
    <row r="19" spans="1:12">
      <c r="A19" s="19"/>
      <c r="B19" s="19"/>
      <c r="C19" s="19"/>
      <c r="D19" s="19"/>
      <c r="E19" s="20"/>
      <c r="F19" s="20"/>
      <c r="G19" s="19"/>
      <c r="H19" s="19"/>
      <c r="I19" s="20"/>
      <c r="J19" s="19"/>
      <c r="K19" s="19"/>
      <c r="L19" s="19"/>
    </row>
  </sheetData>
  <autoFilter ref="A1:L19" xr:uid="{00000000-0009-0000-0000-000009000000}"/>
  <phoneticPr fontId="3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D21"/>
  <sheetViews>
    <sheetView workbookViewId="0">
      <selection activeCell="J40" sqref="J40"/>
    </sheetView>
  </sheetViews>
  <sheetFormatPr defaultColWidth="8.75" defaultRowHeight="13.5"/>
  <cols>
    <col min="1" max="1" width="8.5"/>
    <col min="2" max="2" width="8.25" bestFit="1" customWidth="1"/>
    <col min="3" max="3" width="18.75" bestFit="1" customWidth="1"/>
    <col min="4" max="4" width="15.25" bestFit="1" customWidth="1"/>
    <col min="5" max="5" width="18.5"/>
    <col min="6" max="6" width="8.5"/>
    <col min="7" max="7" width="7.5"/>
    <col min="8" max="8" width="6.5"/>
  </cols>
  <sheetData>
    <row r="3" spans="1:4">
      <c r="A3" s="310" t="s">
        <v>278</v>
      </c>
      <c r="B3" s="310" t="s">
        <v>155</v>
      </c>
      <c r="C3" t="s">
        <v>294</v>
      </c>
      <c r="D3" t="s">
        <v>295</v>
      </c>
    </row>
    <row r="4" spans="1:4">
      <c r="A4" t="s">
        <v>292</v>
      </c>
      <c r="C4">
        <v>390</v>
      </c>
      <c r="D4">
        <v>7350</v>
      </c>
    </row>
    <row r="5" spans="1:4">
      <c r="B5" t="s">
        <v>291</v>
      </c>
      <c r="C5">
        <v>390</v>
      </c>
      <c r="D5">
        <v>7350</v>
      </c>
    </row>
    <row r="6" spans="1:4">
      <c r="A6" t="s">
        <v>285</v>
      </c>
      <c r="C6">
        <v>926</v>
      </c>
      <c r="D6">
        <v>11500</v>
      </c>
    </row>
    <row r="7" spans="1:4">
      <c r="B7" t="s">
        <v>280</v>
      </c>
      <c r="C7">
        <v>810</v>
      </c>
      <c r="D7">
        <v>4050</v>
      </c>
    </row>
    <row r="8" spans="1:4">
      <c r="B8" t="s">
        <v>291</v>
      </c>
      <c r="C8">
        <v>116</v>
      </c>
      <c r="D8">
        <v>7450</v>
      </c>
    </row>
    <row r="9" spans="1:4">
      <c r="A9" t="s">
        <v>289</v>
      </c>
      <c r="C9">
        <v>87</v>
      </c>
      <c r="D9">
        <v>4040</v>
      </c>
    </row>
    <row r="10" spans="1:4">
      <c r="B10" t="s">
        <v>280</v>
      </c>
      <c r="C10">
        <v>87</v>
      </c>
      <c r="D10">
        <v>4040</v>
      </c>
    </row>
    <row r="11" spans="1:4">
      <c r="A11" t="s">
        <v>290</v>
      </c>
      <c r="C11">
        <v>268</v>
      </c>
      <c r="D11">
        <v>11490</v>
      </c>
    </row>
    <row r="12" spans="1:4">
      <c r="B12" t="s">
        <v>280</v>
      </c>
      <c r="C12">
        <v>140</v>
      </c>
      <c r="D12">
        <v>4040</v>
      </c>
    </row>
    <row r="13" spans="1:4">
      <c r="B13" t="s">
        <v>291</v>
      </c>
      <c r="C13">
        <v>128</v>
      </c>
      <c r="D13">
        <v>7450</v>
      </c>
    </row>
    <row r="14" spans="1:4">
      <c r="A14" t="s">
        <v>296</v>
      </c>
    </row>
    <row r="15" spans="1:4">
      <c r="B15" t="s">
        <v>296</v>
      </c>
    </row>
    <row r="16" spans="1:4">
      <c r="A16" t="s">
        <v>286</v>
      </c>
      <c r="C16">
        <v>1281</v>
      </c>
      <c r="D16">
        <v>8090</v>
      </c>
    </row>
    <row r="17" spans="1:4">
      <c r="B17" t="s">
        <v>280</v>
      </c>
      <c r="C17">
        <v>1281</v>
      </c>
      <c r="D17">
        <v>8090</v>
      </c>
    </row>
    <row r="18" spans="1:4">
      <c r="A18" t="s">
        <v>288</v>
      </c>
      <c r="C18">
        <v>1248</v>
      </c>
      <c r="D18">
        <v>11490</v>
      </c>
    </row>
    <row r="19" spans="1:4">
      <c r="B19" t="s">
        <v>280</v>
      </c>
      <c r="C19">
        <v>624</v>
      </c>
      <c r="D19">
        <v>4040</v>
      </c>
    </row>
    <row r="20" spans="1:4">
      <c r="B20" t="s">
        <v>291</v>
      </c>
      <c r="C20">
        <v>624</v>
      </c>
      <c r="D20">
        <v>7450</v>
      </c>
    </row>
    <row r="21" spans="1:4">
      <c r="A21" t="s">
        <v>297</v>
      </c>
      <c r="C21">
        <v>4200</v>
      </c>
      <c r="D21">
        <v>53960</v>
      </c>
    </row>
  </sheetData>
  <phoneticPr fontId="3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42"/>
  <sheetViews>
    <sheetView topLeftCell="D1" workbookViewId="0">
      <selection activeCell="J40" sqref="J40"/>
    </sheetView>
  </sheetViews>
  <sheetFormatPr defaultColWidth="9.625" defaultRowHeight="13.5"/>
  <cols>
    <col min="1" max="3" width="9.625" style="2"/>
    <col min="4" max="5" width="12.25" style="2" customWidth="1"/>
    <col min="6" max="7" width="9.625" style="2"/>
    <col min="8" max="8" width="14" style="2" customWidth="1"/>
    <col min="9" max="9" width="9.625" style="2" customWidth="1"/>
    <col min="10" max="10" width="15" style="2" customWidth="1"/>
    <col min="11" max="12" width="9.625" style="2"/>
    <col min="13" max="13" width="9.5" style="2" customWidth="1"/>
    <col min="14" max="14" width="12.25" style="2"/>
    <col min="15" max="15" width="13.625" style="2"/>
    <col min="16" max="19" width="9.625" style="2"/>
    <col min="20" max="20" width="15" style="2"/>
    <col min="21" max="21" width="9.625" style="2" hidden="1" customWidth="1"/>
    <col min="22" max="22" width="12.25" style="2" hidden="1" customWidth="1"/>
    <col min="23" max="23" width="13.625" style="2" hidden="1" customWidth="1"/>
    <col min="24" max="24" width="12.25" style="2" hidden="1" customWidth="1"/>
    <col min="25" max="25" width="9.625" style="2" hidden="1" customWidth="1"/>
    <col min="26" max="27" width="9.625" style="2"/>
    <col min="28" max="28" width="12.25" style="2"/>
    <col min="29" max="16384" width="9.625" style="2"/>
  </cols>
  <sheetData>
    <row r="1" spans="1:28">
      <c r="A1" s="371" t="s">
        <v>298</v>
      </c>
      <c r="B1" s="371"/>
      <c r="C1" s="371"/>
      <c r="D1" s="371"/>
      <c r="E1" s="371"/>
      <c r="F1" s="371"/>
      <c r="G1" s="371"/>
      <c r="H1" s="371"/>
      <c r="I1" s="371"/>
      <c r="J1" s="371"/>
      <c r="K1" s="372" t="s">
        <v>299</v>
      </c>
      <c r="L1" s="372"/>
      <c r="M1" s="372"/>
      <c r="N1" s="372"/>
      <c r="O1" s="372"/>
      <c r="P1" s="372"/>
      <c r="Q1" s="372"/>
      <c r="R1" s="372"/>
      <c r="S1" s="372"/>
      <c r="T1" s="372"/>
    </row>
    <row r="2" spans="1:28" ht="15.75">
      <c r="A2" s="3" t="s">
        <v>300</v>
      </c>
      <c r="B2" s="3" t="s">
        <v>278</v>
      </c>
      <c r="C2" s="3" t="s">
        <v>301</v>
      </c>
      <c r="D2" s="3" t="s">
        <v>302</v>
      </c>
      <c r="E2" s="3" t="s">
        <v>303</v>
      </c>
      <c r="F2" s="3" t="s">
        <v>304</v>
      </c>
      <c r="G2" s="3" t="s">
        <v>305</v>
      </c>
      <c r="H2" s="3" t="s">
        <v>306</v>
      </c>
      <c r="I2" s="3" t="s">
        <v>307</v>
      </c>
      <c r="J2" s="3" t="s">
        <v>308</v>
      </c>
      <c r="K2" s="3" t="s">
        <v>300</v>
      </c>
      <c r="L2" s="3" t="s">
        <v>278</v>
      </c>
      <c r="M2" s="3" t="s">
        <v>301</v>
      </c>
      <c r="N2" s="3" t="s">
        <v>302</v>
      </c>
      <c r="O2" s="3" t="s">
        <v>303</v>
      </c>
      <c r="P2" s="3" t="s">
        <v>304</v>
      </c>
      <c r="Q2" s="3" t="s">
        <v>305</v>
      </c>
      <c r="R2" s="3" t="s">
        <v>306</v>
      </c>
      <c r="S2" s="3" t="s">
        <v>307</v>
      </c>
      <c r="T2" s="3" t="s">
        <v>308</v>
      </c>
      <c r="U2" s="4" t="s">
        <v>278</v>
      </c>
      <c r="V2" s="4" t="s">
        <v>298</v>
      </c>
      <c r="W2" s="4" t="s">
        <v>299</v>
      </c>
      <c r="X2" s="4" t="s">
        <v>309</v>
      </c>
      <c r="Y2" s="4" t="s">
        <v>310</v>
      </c>
      <c r="Z2" s="5" t="s">
        <v>300</v>
      </c>
      <c r="AA2" s="5" t="s">
        <v>278</v>
      </c>
      <c r="AB2" s="5" t="s">
        <v>311</v>
      </c>
    </row>
    <row r="3" spans="1:28" ht="16.5">
      <c r="A3" s="6"/>
      <c r="B3" s="6"/>
      <c r="C3" s="6"/>
      <c r="D3" s="7"/>
      <c r="E3" s="7"/>
      <c r="F3" s="6"/>
      <c r="I3" s="8"/>
      <c r="J3" s="9"/>
      <c r="K3" s="6"/>
      <c r="L3" s="6"/>
      <c r="M3" s="6"/>
      <c r="N3" s="7"/>
      <c r="O3" s="7"/>
      <c r="P3" s="6"/>
      <c r="R3" s="6"/>
      <c r="S3" s="8"/>
      <c r="T3" s="10"/>
      <c r="U3" s="4">
        <v>1</v>
      </c>
      <c r="V3" s="11">
        <f t="shared" ref="V3:V42" si="0">+IFERROR(VLOOKUP(U3,$B$2:$J$14,4,FALSE),0)</f>
        <v>0</v>
      </c>
      <c r="W3" s="11">
        <f t="shared" ref="W3:W42" si="1">+IFERROR(VLOOKUP(U3,$L$2:$T$14,4,FALSE),0)</f>
        <v>0</v>
      </c>
      <c r="X3" s="11">
        <f t="shared" ref="X3:X42" si="2">+V3-W3</f>
        <v>0</v>
      </c>
      <c r="Y3" s="4">
        <f t="shared" ref="Y3:Y42" si="3">RANK(X3,$X$3:$X$42)</f>
        <v>1</v>
      </c>
      <c r="Z3" s="5">
        <v>1</v>
      </c>
      <c r="AA3" s="5" cm="1">
        <f t="array" ref="AA3:AA42">_xlfn.XLOOKUP(Z3:Z42,Y3:Y42,U3:U42)</f>
        <v>1</v>
      </c>
      <c r="AB3" s="12" cm="1">
        <f t="array" ref="AB3:AB42">_xlfn.XLOOKUP(_xlfn.ANCHORARRAY(AA3),U3:U42,X3:X42)</f>
        <v>0</v>
      </c>
    </row>
    <row r="4" spans="1:28" ht="16.5">
      <c r="A4" s="6"/>
      <c r="B4" s="6"/>
      <c r="C4" s="6"/>
      <c r="D4" s="7"/>
      <c r="E4" s="7"/>
      <c r="F4" s="6"/>
      <c r="I4" s="8"/>
      <c r="J4" s="9"/>
      <c r="K4" s="6"/>
      <c r="L4" s="6"/>
      <c r="M4" s="6"/>
      <c r="N4" s="7"/>
      <c r="O4" s="7"/>
      <c r="P4" s="6"/>
      <c r="R4" s="6"/>
      <c r="S4" s="8"/>
      <c r="T4" s="10"/>
      <c r="U4" s="4">
        <v>2</v>
      </c>
      <c r="V4" s="11">
        <f t="shared" si="0"/>
        <v>0</v>
      </c>
      <c r="W4" s="11">
        <f t="shared" si="1"/>
        <v>0</v>
      </c>
      <c r="X4" s="11">
        <f t="shared" si="2"/>
        <v>0</v>
      </c>
      <c r="Y4" s="4">
        <f t="shared" si="3"/>
        <v>1</v>
      </c>
      <c r="Z4" s="5">
        <v>2</v>
      </c>
      <c r="AA4" s="5" t="e">
        <v>#N/A</v>
      </c>
      <c r="AB4" s="12" t="e">
        <v>#N/A</v>
      </c>
    </row>
    <row r="5" spans="1:28" ht="16.5">
      <c r="A5" s="6"/>
      <c r="B5" s="6"/>
      <c r="C5" s="6"/>
      <c r="D5" s="7"/>
      <c r="E5" s="7"/>
      <c r="F5" s="6"/>
      <c r="I5" s="8"/>
      <c r="J5" s="9"/>
      <c r="K5" s="6"/>
      <c r="L5" s="6"/>
      <c r="M5" s="6"/>
      <c r="N5" s="7"/>
      <c r="O5" s="7"/>
      <c r="P5" s="6"/>
      <c r="R5" s="6"/>
      <c r="S5" s="8"/>
      <c r="T5" s="10"/>
      <c r="U5" s="4">
        <v>3</v>
      </c>
      <c r="V5" s="11">
        <f t="shared" si="0"/>
        <v>0</v>
      </c>
      <c r="W5" s="11">
        <f t="shared" si="1"/>
        <v>0</v>
      </c>
      <c r="X5" s="11">
        <f t="shared" si="2"/>
        <v>0</v>
      </c>
      <c r="Y5" s="4">
        <f t="shared" si="3"/>
        <v>1</v>
      </c>
      <c r="Z5" s="5">
        <v>3</v>
      </c>
      <c r="AA5" s="5" t="e">
        <v>#N/A</v>
      </c>
      <c r="AB5" s="12" t="e">
        <v>#N/A</v>
      </c>
    </row>
    <row r="6" spans="1:28" ht="16.5">
      <c r="A6" s="6"/>
      <c r="B6" s="6"/>
      <c r="C6" s="6"/>
      <c r="D6" s="7"/>
      <c r="E6" s="7"/>
      <c r="F6" s="6"/>
      <c r="I6" s="8"/>
      <c r="J6" s="9"/>
      <c r="K6" s="6"/>
      <c r="L6" s="6"/>
      <c r="M6" s="6"/>
      <c r="N6" s="7"/>
      <c r="O6" s="7"/>
      <c r="P6" s="6"/>
      <c r="R6" s="6"/>
      <c r="S6" s="8"/>
      <c r="T6" s="10"/>
      <c r="U6" s="4">
        <v>4</v>
      </c>
      <c r="V6" s="11">
        <f t="shared" si="0"/>
        <v>0</v>
      </c>
      <c r="W6" s="11">
        <f t="shared" si="1"/>
        <v>0</v>
      </c>
      <c r="X6" s="11">
        <f t="shared" si="2"/>
        <v>0</v>
      </c>
      <c r="Y6" s="4">
        <f t="shared" si="3"/>
        <v>1</v>
      </c>
      <c r="Z6" s="5">
        <v>4</v>
      </c>
      <c r="AA6" s="5" t="e">
        <v>#N/A</v>
      </c>
      <c r="AB6" s="12" t="e">
        <v>#N/A</v>
      </c>
    </row>
    <row r="7" spans="1:28" ht="16.5">
      <c r="A7" s="6"/>
      <c r="B7" s="6"/>
      <c r="C7" s="6"/>
      <c r="D7" s="7"/>
      <c r="E7" s="7"/>
      <c r="F7" s="6"/>
      <c r="I7" s="8"/>
      <c r="J7" s="9"/>
      <c r="K7" s="6"/>
      <c r="L7" s="6"/>
      <c r="M7" s="6"/>
      <c r="N7" s="7"/>
      <c r="O7" s="7"/>
      <c r="P7" s="6"/>
      <c r="R7" s="6"/>
      <c r="S7" s="8"/>
      <c r="T7" s="10"/>
      <c r="U7" s="4">
        <v>5</v>
      </c>
      <c r="V7" s="11">
        <f t="shared" si="0"/>
        <v>0</v>
      </c>
      <c r="W7" s="11">
        <f t="shared" si="1"/>
        <v>0</v>
      </c>
      <c r="X7" s="11">
        <f t="shared" si="2"/>
        <v>0</v>
      </c>
      <c r="Y7" s="4">
        <f t="shared" si="3"/>
        <v>1</v>
      </c>
      <c r="Z7" s="5">
        <v>5</v>
      </c>
      <c r="AA7" s="5" t="e">
        <v>#N/A</v>
      </c>
      <c r="AB7" s="12" t="e">
        <v>#N/A</v>
      </c>
    </row>
    <row r="8" spans="1:28" ht="16.5">
      <c r="A8" s="6"/>
      <c r="B8" s="6"/>
      <c r="C8" s="6"/>
      <c r="D8" s="7"/>
      <c r="E8" s="7"/>
      <c r="F8" s="6"/>
      <c r="I8" s="8"/>
      <c r="J8" s="9"/>
      <c r="K8" s="6"/>
      <c r="L8" s="6"/>
      <c r="M8" s="6"/>
      <c r="N8" s="6"/>
      <c r="O8" s="7"/>
      <c r="P8" s="6"/>
      <c r="R8" s="6"/>
      <c r="S8" s="8"/>
      <c r="T8" s="10"/>
      <c r="U8" s="4">
        <v>6</v>
      </c>
      <c r="V8" s="11">
        <f t="shared" si="0"/>
        <v>0</v>
      </c>
      <c r="W8" s="11">
        <f t="shared" si="1"/>
        <v>0</v>
      </c>
      <c r="X8" s="11">
        <f t="shared" si="2"/>
        <v>0</v>
      </c>
      <c r="Y8" s="4">
        <f t="shared" si="3"/>
        <v>1</v>
      </c>
      <c r="Z8" s="5">
        <v>6</v>
      </c>
      <c r="AA8" s="5" t="e">
        <v>#N/A</v>
      </c>
      <c r="AB8" s="12" t="e">
        <v>#N/A</v>
      </c>
    </row>
    <row r="9" spans="1:28" ht="16.5">
      <c r="A9" s="6"/>
      <c r="B9" s="6"/>
      <c r="C9" s="6"/>
      <c r="D9" s="7"/>
      <c r="E9" s="7"/>
      <c r="F9" s="6"/>
      <c r="I9" s="8"/>
      <c r="J9" s="9"/>
      <c r="K9" s="6"/>
      <c r="L9" s="6"/>
      <c r="M9" s="6"/>
      <c r="N9" s="7"/>
      <c r="O9" s="7"/>
      <c r="P9" s="6"/>
      <c r="R9" s="6"/>
      <c r="S9" s="8"/>
      <c r="T9" s="10"/>
      <c r="U9" s="4">
        <v>7</v>
      </c>
      <c r="V9" s="11">
        <f t="shared" si="0"/>
        <v>0</v>
      </c>
      <c r="W9" s="11">
        <f t="shared" si="1"/>
        <v>0</v>
      </c>
      <c r="X9" s="11">
        <f t="shared" si="2"/>
        <v>0</v>
      </c>
      <c r="Y9" s="4">
        <f t="shared" si="3"/>
        <v>1</v>
      </c>
      <c r="Z9" s="5">
        <v>7</v>
      </c>
      <c r="AA9" s="5" t="e">
        <v>#N/A</v>
      </c>
      <c r="AB9" s="12" t="e">
        <v>#N/A</v>
      </c>
    </row>
    <row r="10" spans="1:28" ht="16.5">
      <c r="A10" s="6"/>
      <c r="B10" s="6"/>
      <c r="C10" s="6"/>
      <c r="D10" s="7"/>
      <c r="E10" s="7"/>
      <c r="F10" s="6"/>
      <c r="I10" s="8"/>
      <c r="J10" s="9"/>
      <c r="K10" s="6"/>
      <c r="L10" s="6"/>
      <c r="M10" s="6"/>
      <c r="N10" s="7"/>
      <c r="O10" s="7"/>
      <c r="P10" s="6"/>
      <c r="R10" s="6"/>
      <c r="S10" s="8"/>
      <c r="T10" s="10"/>
      <c r="U10" s="4">
        <v>8</v>
      </c>
      <c r="V10" s="11">
        <f t="shared" si="0"/>
        <v>0</v>
      </c>
      <c r="W10" s="11">
        <f t="shared" si="1"/>
        <v>0</v>
      </c>
      <c r="X10" s="11">
        <f t="shared" si="2"/>
        <v>0</v>
      </c>
      <c r="Y10" s="4">
        <f t="shared" si="3"/>
        <v>1</v>
      </c>
      <c r="Z10" s="5">
        <v>8</v>
      </c>
      <c r="AA10" s="5" t="e">
        <v>#N/A</v>
      </c>
      <c r="AB10" s="12" t="e">
        <v>#N/A</v>
      </c>
    </row>
    <row r="11" spans="1:28" ht="16.5">
      <c r="A11" s="6"/>
      <c r="B11" s="6"/>
      <c r="C11" s="6"/>
      <c r="D11" s="7"/>
      <c r="E11" s="7"/>
      <c r="F11" s="6"/>
      <c r="I11" s="8"/>
      <c r="J11" s="9"/>
      <c r="K11" s="6"/>
      <c r="L11" s="6"/>
      <c r="M11" s="6"/>
      <c r="N11" s="7"/>
      <c r="O11" s="7"/>
      <c r="P11" s="6"/>
      <c r="R11" s="6"/>
      <c r="S11" s="8"/>
      <c r="T11" s="10"/>
      <c r="U11" s="4">
        <v>9</v>
      </c>
      <c r="V11" s="11">
        <f t="shared" si="0"/>
        <v>0</v>
      </c>
      <c r="W11" s="11">
        <f t="shared" si="1"/>
        <v>0</v>
      </c>
      <c r="X11" s="11">
        <f t="shared" si="2"/>
        <v>0</v>
      </c>
      <c r="Y11" s="4">
        <f t="shared" si="3"/>
        <v>1</v>
      </c>
      <c r="Z11" s="5">
        <v>9</v>
      </c>
      <c r="AA11" s="5" t="e">
        <v>#N/A</v>
      </c>
      <c r="AB11" s="12" t="e">
        <v>#N/A</v>
      </c>
    </row>
    <row r="12" spans="1:28" ht="16.5">
      <c r="A12" s="6"/>
      <c r="B12" s="6"/>
      <c r="C12" s="6"/>
      <c r="D12" s="7"/>
      <c r="E12" s="7"/>
      <c r="F12" s="6"/>
      <c r="I12" s="8"/>
      <c r="J12" s="9"/>
      <c r="K12" s="6"/>
      <c r="L12" s="6"/>
      <c r="M12" s="6"/>
      <c r="N12" s="7"/>
      <c r="O12" s="7"/>
      <c r="P12" s="6"/>
      <c r="R12" s="6"/>
      <c r="S12" s="8"/>
      <c r="T12" s="10"/>
      <c r="U12" s="4">
        <v>10</v>
      </c>
      <c r="V12" s="11">
        <f t="shared" si="0"/>
        <v>0</v>
      </c>
      <c r="W12" s="11">
        <f t="shared" si="1"/>
        <v>0</v>
      </c>
      <c r="X12" s="11">
        <f t="shared" si="2"/>
        <v>0</v>
      </c>
      <c r="Y12" s="4">
        <f t="shared" si="3"/>
        <v>1</v>
      </c>
      <c r="Z12" s="5">
        <v>10</v>
      </c>
      <c r="AA12" s="5" t="e">
        <v>#N/A</v>
      </c>
      <c r="AB12" s="12" t="e">
        <v>#N/A</v>
      </c>
    </row>
    <row r="13" spans="1:28" ht="16.5">
      <c r="A13" s="6"/>
      <c r="B13" s="6"/>
      <c r="C13" s="6"/>
      <c r="D13" s="7"/>
      <c r="E13" s="7"/>
      <c r="F13" s="6"/>
      <c r="I13" s="8"/>
      <c r="J13" s="9"/>
      <c r="K13" s="6"/>
      <c r="L13" s="6"/>
      <c r="M13" s="6"/>
      <c r="N13" s="7"/>
      <c r="O13" s="7"/>
      <c r="P13" s="6"/>
      <c r="R13" s="6"/>
      <c r="S13" s="8"/>
      <c r="T13" s="10"/>
      <c r="U13" s="4">
        <v>11</v>
      </c>
      <c r="V13" s="11">
        <f t="shared" si="0"/>
        <v>0</v>
      </c>
      <c r="W13" s="11">
        <f t="shared" si="1"/>
        <v>0</v>
      </c>
      <c r="X13" s="11">
        <f t="shared" si="2"/>
        <v>0</v>
      </c>
      <c r="Y13" s="4">
        <f t="shared" si="3"/>
        <v>1</v>
      </c>
      <c r="Z13" s="5">
        <v>11</v>
      </c>
      <c r="AA13" s="5" t="e">
        <v>#N/A</v>
      </c>
      <c r="AB13" s="12" t="e">
        <v>#N/A</v>
      </c>
    </row>
    <row r="14" spans="1:28" ht="16.5">
      <c r="A14" s="6"/>
      <c r="B14" s="6"/>
      <c r="C14" s="6"/>
      <c r="D14" s="7"/>
      <c r="E14" s="7"/>
      <c r="F14" s="6"/>
      <c r="I14" s="8"/>
      <c r="J14" s="9"/>
      <c r="K14" s="6"/>
      <c r="L14" s="6"/>
      <c r="M14" s="6"/>
      <c r="N14" s="6"/>
      <c r="O14" s="7"/>
      <c r="P14" s="6"/>
      <c r="R14" s="6"/>
      <c r="S14" s="8"/>
      <c r="T14" s="10"/>
      <c r="U14" s="4">
        <v>12</v>
      </c>
      <c r="V14" s="11">
        <f t="shared" si="0"/>
        <v>0</v>
      </c>
      <c r="W14" s="11">
        <f t="shared" si="1"/>
        <v>0</v>
      </c>
      <c r="X14" s="11">
        <f t="shared" si="2"/>
        <v>0</v>
      </c>
      <c r="Y14" s="4">
        <f t="shared" si="3"/>
        <v>1</v>
      </c>
      <c r="Z14" s="5">
        <v>12</v>
      </c>
      <c r="AA14" s="5" t="e">
        <v>#N/A</v>
      </c>
      <c r="AB14" s="12" t="e">
        <v>#N/A</v>
      </c>
    </row>
    <row r="15" spans="1:28" ht="16.5">
      <c r="A15" s="6"/>
      <c r="B15" s="6"/>
      <c r="C15" s="6"/>
      <c r="D15" s="7"/>
      <c r="E15" s="7"/>
      <c r="F15" s="6"/>
      <c r="I15" s="8"/>
      <c r="J15" s="9"/>
      <c r="K15" s="6"/>
      <c r="L15" s="6"/>
      <c r="M15" s="6"/>
      <c r="N15" s="7"/>
      <c r="O15" s="7"/>
      <c r="P15" s="6"/>
      <c r="R15" s="6"/>
      <c r="S15" s="8" t="s">
        <v>312</v>
      </c>
      <c r="T15" s="10"/>
      <c r="U15" s="4">
        <v>13</v>
      </c>
      <c r="V15" s="11">
        <f t="shared" si="0"/>
        <v>0</v>
      </c>
      <c r="W15" s="11">
        <f t="shared" si="1"/>
        <v>0</v>
      </c>
      <c r="X15" s="11">
        <f t="shared" si="2"/>
        <v>0</v>
      </c>
      <c r="Y15" s="4">
        <f t="shared" si="3"/>
        <v>1</v>
      </c>
      <c r="Z15" s="5">
        <v>13</v>
      </c>
      <c r="AA15" s="5" t="e">
        <v>#N/A</v>
      </c>
      <c r="AB15" s="12" t="e">
        <v>#N/A</v>
      </c>
    </row>
    <row r="16" spans="1:28" ht="16.5">
      <c r="A16" s="6"/>
      <c r="B16" s="6"/>
      <c r="C16" s="6"/>
      <c r="D16" s="7"/>
      <c r="E16" s="7"/>
      <c r="F16" s="6"/>
      <c r="I16" s="8"/>
      <c r="J16" s="9"/>
      <c r="K16" s="6"/>
      <c r="L16" s="6"/>
      <c r="M16" s="6"/>
      <c r="N16" s="7"/>
      <c r="O16" s="7"/>
      <c r="P16" s="6"/>
      <c r="R16" s="6"/>
      <c r="S16" s="8"/>
      <c r="T16" s="10"/>
      <c r="U16" s="4">
        <v>14</v>
      </c>
      <c r="V16" s="11">
        <f t="shared" si="0"/>
        <v>0</v>
      </c>
      <c r="W16" s="11">
        <f t="shared" si="1"/>
        <v>0</v>
      </c>
      <c r="X16" s="11">
        <f t="shared" si="2"/>
        <v>0</v>
      </c>
      <c r="Y16" s="4">
        <f t="shared" si="3"/>
        <v>1</v>
      </c>
      <c r="Z16" s="5">
        <v>14</v>
      </c>
      <c r="AA16" s="5" t="e">
        <v>#N/A</v>
      </c>
      <c r="AB16" s="12" t="e">
        <v>#N/A</v>
      </c>
    </row>
    <row r="17" spans="1:28" ht="16.5">
      <c r="A17" s="6"/>
      <c r="B17" s="6"/>
      <c r="C17" s="6"/>
      <c r="D17" s="7"/>
      <c r="E17" s="7"/>
      <c r="F17" s="6"/>
      <c r="I17" s="8"/>
      <c r="J17" s="9"/>
      <c r="K17" s="6"/>
      <c r="L17" s="6"/>
      <c r="M17" s="6"/>
      <c r="N17" s="7"/>
      <c r="O17" s="7"/>
      <c r="P17" s="6"/>
      <c r="R17" s="6"/>
      <c r="S17" s="8"/>
      <c r="T17" s="10"/>
      <c r="U17" s="4">
        <v>15</v>
      </c>
      <c r="V17" s="11">
        <f t="shared" si="0"/>
        <v>0</v>
      </c>
      <c r="W17" s="11">
        <f t="shared" si="1"/>
        <v>0</v>
      </c>
      <c r="X17" s="11">
        <f t="shared" si="2"/>
        <v>0</v>
      </c>
      <c r="Y17" s="4">
        <f t="shared" si="3"/>
        <v>1</v>
      </c>
      <c r="Z17" s="5">
        <v>15</v>
      </c>
      <c r="AA17" s="5" t="e">
        <v>#N/A</v>
      </c>
      <c r="AB17" s="12" t="e">
        <v>#N/A</v>
      </c>
    </row>
    <row r="18" spans="1:28" ht="16.5">
      <c r="A18" s="6"/>
      <c r="B18" s="6"/>
      <c r="C18" s="6"/>
      <c r="D18" s="7"/>
      <c r="E18" s="7"/>
      <c r="F18" s="6"/>
      <c r="I18" s="8"/>
      <c r="J18" s="9"/>
      <c r="K18" s="6"/>
      <c r="L18" s="6"/>
      <c r="M18" s="6"/>
      <c r="N18" s="7"/>
      <c r="O18" s="7"/>
      <c r="P18" s="6"/>
      <c r="R18" s="6"/>
      <c r="S18" s="8"/>
      <c r="T18" s="10"/>
      <c r="U18" s="4">
        <v>16</v>
      </c>
      <c r="V18" s="11">
        <f t="shared" si="0"/>
        <v>0</v>
      </c>
      <c r="W18" s="11">
        <f t="shared" si="1"/>
        <v>0</v>
      </c>
      <c r="X18" s="11">
        <f t="shared" si="2"/>
        <v>0</v>
      </c>
      <c r="Y18" s="4">
        <f t="shared" si="3"/>
        <v>1</v>
      </c>
      <c r="Z18" s="5">
        <v>16</v>
      </c>
      <c r="AA18" s="5" t="e">
        <v>#N/A</v>
      </c>
      <c r="AB18" s="12" t="e">
        <v>#N/A</v>
      </c>
    </row>
    <row r="19" spans="1:28" ht="16.5">
      <c r="A19" s="6"/>
      <c r="B19" s="6"/>
      <c r="C19" s="6"/>
      <c r="D19" s="7"/>
      <c r="E19" s="7"/>
      <c r="F19" s="6"/>
      <c r="I19" s="8"/>
      <c r="J19" s="9"/>
      <c r="K19" s="6"/>
      <c r="L19" s="6"/>
      <c r="M19" s="6"/>
      <c r="N19" s="7"/>
      <c r="O19" s="7"/>
      <c r="P19" s="6"/>
      <c r="R19" s="6"/>
      <c r="S19" s="8"/>
      <c r="T19" s="10"/>
      <c r="U19" s="4">
        <v>17</v>
      </c>
      <c r="V19" s="11">
        <f t="shared" si="0"/>
        <v>0</v>
      </c>
      <c r="W19" s="11">
        <f t="shared" si="1"/>
        <v>0</v>
      </c>
      <c r="X19" s="11">
        <f t="shared" si="2"/>
        <v>0</v>
      </c>
      <c r="Y19" s="4">
        <f t="shared" si="3"/>
        <v>1</v>
      </c>
      <c r="Z19" s="5">
        <v>17</v>
      </c>
      <c r="AA19" s="5" t="e">
        <v>#N/A</v>
      </c>
      <c r="AB19" s="12" t="e">
        <v>#N/A</v>
      </c>
    </row>
    <row r="20" spans="1:28" ht="16.5">
      <c r="A20" s="6"/>
      <c r="B20" s="6"/>
      <c r="C20" s="6"/>
      <c r="D20" s="7"/>
      <c r="E20" s="7"/>
      <c r="F20" s="6"/>
      <c r="I20" s="8"/>
      <c r="J20" s="9"/>
      <c r="K20" s="6"/>
      <c r="L20" s="6"/>
      <c r="M20" s="6"/>
      <c r="N20" s="7"/>
      <c r="O20" s="7"/>
      <c r="P20" s="6"/>
      <c r="R20" s="6"/>
      <c r="S20" s="8"/>
      <c r="T20" s="10"/>
      <c r="U20" s="4">
        <v>18</v>
      </c>
      <c r="V20" s="11">
        <f t="shared" si="0"/>
        <v>0</v>
      </c>
      <c r="W20" s="11">
        <f t="shared" si="1"/>
        <v>0</v>
      </c>
      <c r="X20" s="11">
        <f t="shared" si="2"/>
        <v>0</v>
      </c>
      <c r="Y20" s="4">
        <f t="shared" si="3"/>
        <v>1</v>
      </c>
      <c r="Z20" s="5">
        <v>18</v>
      </c>
      <c r="AA20" s="5" t="e">
        <v>#N/A</v>
      </c>
      <c r="AB20" s="12" t="e">
        <v>#N/A</v>
      </c>
    </row>
    <row r="21" spans="1:28" ht="16.5">
      <c r="A21" s="6"/>
      <c r="B21" s="6"/>
      <c r="C21" s="6"/>
      <c r="D21" s="7"/>
      <c r="E21" s="7"/>
      <c r="F21" s="6"/>
      <c r="I21" s="8"/>
      <c r="J21" s="9"/>
      <c r="K21" s="6"/>
      <c r="L21" s="6"/>
      <c r="M21" s="6"/>
      <c r="N21" s="7"/>
      <c r="O21" s="7"/>
      <c r="P21" s="6"/>
      <c r="R21" s="6"/>
      <c r="S21" s="8"/>
      <c r="T21" s="10"/>
      <c r="U21" s="4">
        <v>19</v>
      </c>
      <c r="V21" s="11">
        <f t="shared" si="0"/>
        <v>0</v>
      </c>
      <c r="W21" s="11">
        <f t="shared" si="1"/>
        <v>0</v>
      </c>
      <c r="X21" s="11">
        <f t="shared" si="2"/>
        <v>0</v>
      </c>
      <c r="Y21" s="4">
        <f t="shared" si="3"/>
        <v>1</v>
      </c>
      <c r="Z21" s="5">
        <v>19</v>
      </c>
      <c r="AA21" s="5" t="e">
        <v>#N/A</v>
      </c>
      <c r="AB21" s="12" t="e">
        <v>#N/A</v>
      </c>
    </row>
    <row r="22" spans="1:28" ht="16.5">
      <c r="A22" s="6"/>
      <c r="B22" s="6"/>
      <c r="C22" s="6"/>
      <c r="D22" s="7"/>
      <c r="E22" s="7"/>
      <c r="F22" s="6"/>
      <c r="I22" s="8"/>
      <c r="J22" s="9"/>
      <c r="K22" s="6"/>
      <c r="L22" s="6"/>
      <c r="M22" s="6"/>
      <c r="N22" s="7"/>
      <c r="O22" s="7"/>
      <c r="P22" s="6"/>
      <c r="R22" s="6"/>
      <c r="S22" s="8"/>
      <c r="T22" s="10"/>
      <c r="U22" s="4">
        <v>20</v>
      </c>
      <c r="V22" s="11">
        <f t="shared" si="0"/>
        <v>0</v>
      </c>
      <c r="W22" s="11">
        <f t="shared" si="1"/>
        <v>0</v>
      </c>
      <c r="X22" s="11">
        <f t="shared" si="2"/>
        <v>0</v>
      </c>
      <c r="Y22" s="4">
        <f t="shared" si="3"/>
        <v>1</v>
      </c>
      <c r="Z22" s="5">
        <v>20</v>
      </c>
      <c r="AA22" s="5" t="e">
        <v>#N/A</v>
      </c>
      <c r="AB22" s="12" t="e">
        <v>#N/A</v>
      </c>
    </row>
    <row r="23" spans="1:28" ht="16.5">
      <c r="A23" s="6"/>
      <c r="B23" s="6"/>
      <c r="C23" s="6"/>
      <c r="D23" s="7"/>
      <c r="E23" s="7"/>
      <c r="F23" s="6"/>
      <c r="I23" s="8"/>
      <c r="J23" s="9"/>
      <c r="K23" s="6"/>
      <c r="L23" s="6"/>
      <c r="M23" s="6"/>
      <c r="N23" s="7"/>
      <c r="O23" s="7"/>
      <c r="P23" s="6"/>
      <c r="R23" s="6"/>
      <c r="S23" s="8"/>
      <c r="T23" s="10"/>
      <c r="U23" s="4">
        <v>21</v>
      </c>
      <c r="V23" s="11">
        <f t="shared" si="0"/>
        <v>0</v>
      </c>
      <c r="W23" s="11">
        <f t="shared" si="1"/>
        <v>0</v>
      </c>
      <c r="X23" s="11">
        <f t="shared" si="2"/>
        <v>0</v>
      </c>
      <c r="Y23" s="4">
        <f t="shared" si="3"/>
        <v>1</v>
      </c>
      <c r="Z23" s="5">
        <v>21</v>
      </c>
      <c r="AA23" s="5" t="e">
        <v>#N/A</v>
      </c>
      <c r="AB23" s="12" t="e">
        <v>#N/A</v>
      </c>
    </row>
    <row r="24" spans="1:28" ht="16.5">
      <c r="A24" s="6"/>
      <c r="B24" s="6"/>
      <c r="C24" s="6"/>
      <c r="D24" s="7"/>
      <c r="E24" s="7"/>
      <c r="F24" s="6"/>
      <c r="I24" s="8"/>
      <c r="J24" s="9"/>
      <c r="K24" s="6"/>
      <c r="L24" s="6"/>
      <c r="M24" s="6"/>
      <c r="N24" s="7"/>
      <c r="O24" s="7"/>
      <c r="P24" s="6"/>
      <c r="R24" s="7"/>
      <c r="S24" s="8"/>
      <c r="T24" s="10"/>
      <c r="U24" s="4">
        <v>22</v>
      </c>
      <c r="V24" s="11">
        <f t="shared" si="0"/>
        <v>0</v>
      </c>
      <c r="W24" s="11">
        <f t="shared" si="1"/>
        <v>0</v>
      </c>
      <c r="X24" s="11">
        <f t="shared" si="2"/>
        <v>0</v>
      </c>
      <c r="Y24" s="4">
        <f t="shared" si="3"/>
        <v>1</v>
      </c>
      <c r="Z24" s="5">
        <v>22</v>
      </c>
      <c r="AA24" s="5" t="e">
        <v>#N/A</v>
      </c>
      <c r="AB24" s="12" t="e">
        <v>#N/A</v>
      </c>
    </row>
    <row r="25" spans="1:28" ht="16.5">
      <c r="A25" s="6"/>
      <c r="B25" s="6"/>
      <c r="C25" s="6"/>
      <c r="D25" s="7"/>
      <c r="E25" s="7"/>
      <c r="F25" s="6"/>
      <c r="I25" s="8"/>
      <c r="J25" s="9"/>
      <c r="K25" s="6"/>
      <c r="L25" s="6"/>
      <c r="M25" s="6"/>
      <c r="N25" s="7"/>
      <c r="O25" s="7"/>
      <c r="P25" s="6"/>
      <c r="R25" s="6"/>
      <c r="S25" s="8"/>
      <c r="T25" s="10"/>
      <c r="U25" s="4">
        <v>23</v>
      </c>
      <c r="V25" s="11">
        <f t="shared" si="0"/>
        <v>0</v>
      </c>
      <c r="W25" s="11">
        <f t="shared" si="1"/>
        <v>0</v>
      </c>
      <c r="X25" s="11">
        <f t="shared" si="2"/>
        <v>0</v>
      </c>
      <c r="Y25" s="4">
        <f t="shared" si="3"/>
        <v>1</v>
      </c>
      <c r="Z25" s="5">
        <v>23</v>
      </c>
      <c r="AA25" s="5" t="e">
        <v>#N/A</v>
      </c>
      <c r="AB25" s="12" t="e">
        <v>#N/A</v>
      </c>
    </row>
    <row r="26" spans="1:28" ht="16.5">
      <c r="A26" s="6"/>
      <c r="B26" s="6"/>
      <c r="C26" s="6"/>
      <c r="D26" s="7"/>
      <c r="E26" s="7"/>
      <c r="F26" s="6"/>
      <c r="I26" s="8"/>
      <c r="J26" s="9"/>
      <c r="K26" s="6"/>
      <c r="L26" s="6"/>
      <c r="M26" s="6"/>
      <c r="N26" s="7"/>
      <c r="O26" s="7"/>
      <c r="P26" s="6"/>
      <c r="R26" s="6"/>
      <c r="S26" s="8"/>
      <c r="T26" s="10"/>
      <c r="U26" s="4">
        <v>24</v>
      </c>
      <c r="V26" s="11">
        <f t="shared" si="0"/>
        <v>0</v>
      </c>
      <c r="W26" s="11">
        <f t="shared" si="1"/>
        <v>0</v>
      </c>
      <c r="X26" s="11">
        <f t="shared" si="2"/>
        <v>0</v>
      </c>
      <c r="Y26" s="4">
        <f t="shared" si="3"/>
        <v>1</v>
      </c>
      <c r="Z26" s="5">
        <v>24</v>
      </c>
      <c r="AA26" s="5" t="e">
        <v>#N/A</v>
      </c>
      <c r="AB26" s="12" t="e">
        <v>#N/A</v>
      </c>
    </row>
    <row r="27" spans="1:28" ht="16.5">
      <c r="A27" s="13"/>
      <c r="B27" s="13"/>
      <c r="C27" s="13"/>
      <c r="D27" s="14"/>
      <c r="E27" s="14"/>
      <c r="F27" s="13"/>
      <c r="H27" s="15"/>
      <c r="I27" s="16"/>
      <c r="J27" s="17"/>
      <c r="K27" s="6"/>
      <c r="L27" s="6"/>
      <c r="M27" s="6"/>
      <c r="N27" s="7"/>
      <c r="O27" s="7"/>
      <c r="P27" s="6"/>
      <c r="R27" s="6"/>
      <c r="S27" s="8"/>
      <c r="T27" s="10"/>
      <c r="U27" s="4">
        <v>25</v>
      </c>
      <c r="V27" s="11">
        <f t="shared" si="0"/>
        <v>0</v>
      </c>
      <c r="W27" s="11">
        <f t="shared" si="1"/>
        <v>0</v>
      </c>
      <c r="X27" s="11">
        <f t="shared" si="2"/>
        <v>0</v>
      </c>
      <c r="Y27" s="4">
        <f t="shared" si="3"/>
        <v>1</v>
      </c>
      <c r="Z27" s="5">
        <v>25</v>
      </c>
      <c r="AA27" s="5" t="e">
        <v>#N/A</v>
      </c>
      <c r="AB27" s="12" t="e">
        <v>#N/A</v>
      </c>
    </row>
    <row r="28" spans="1:28">
      <c r="U28" s="4">
        <v>26</v>
      </c>
      <c r="V28" s="11">
        <f t="shared" si="0"/>
        <v>0</v>
      </c>
      <c r="W28" s="11">
        <f t="shared" si="1"/>
        <v>0</v>
      </c>
      <c r="X28" s="11">
        <f t="shared" si="2"/>
        <v>0</v>
      </c>
      <c r="Y28" s="4">
        <f t="shared" si="3"/>
        <v>1</v>
      </c>
      <c r="Z28" s="5">
        <v>26</v>
      </c>
      <c r="AA28" s="5" t="e">
        <v>#N/A</v>
      </c>
      <c r="AB28" s="12" t="e">
        <v>#N/A</v>
      </c>
    </row>
    <row r="29" spans="1:28">
      <c r="U29" s="4">
        <v>27</v>
      </c>
      <c r="V29" s="11">
        <f t="shared" si="0"/>
        <v>0</v>
      </c>
      <c r="W29" s="11">
        <f t="shared" si="1"/>
        <v>0</v>
      </c>
      <c r="X29" s="11">
        <f t="shared" si="2"/>
        <v>0</v>
      </c>
      <c r="Y29" s="4">
        <f t="shared" si="3"/>
        <v>1</v>
      </c>
      <c r="Z29" s="5">
        <v>27</v>
      </c>
      <c r="AA29" s="5" t="e">
        <v>#N/A</v>
      </c>
      <c r="AB29" s="12" t="e">
        <v>#N/A</v>
      </c>
    </row>
    <row r="30" spans="1:28">
      <c r="U30" s="4">
        <v>28</v>
      </c>
      <c r="V30" s="11">
        <f t="shared" si="0"/>
        <v>0</v>
      </c>
      <c r="W30" s="11">
        <f t="shared" si="1"/>
        <v>0</v>
      </c>
      <c r="X30" s="11">
        <f t="shared" si="2"/>
        <v>0</v>
      </c>
      <c r="Y30" s="4">
        <f t="shared" si="3"/>
        <v>1</v>
      </c>
      <c r="Z30" s="5">
        <v>28</v>
      </c>
      <c r="AA30" s="5" t="e">
        <v>#N/A</v>
      </c>
      <c r="AB30" s="12" t="e">
        <v>#N/A</v>
      </c>
    </row>
    <row r="31" spans="1:28">
      <c r="U31" s="4">
        <v>29</v>
      </c>
      <c r="V31" s="11">
        <f t="shared" si="0"/>
        <v>0</v>
      </c>
      <c r="W31" s="11">
        <f t="shared" si="1"/>
        <v>0</v>
      </c>
      <c r="X31" s="11">
        <f t="shared" si="2"/>
        <v>0</v>
      </c>
      <c r="Y31" s="4">
        <f t="shared" si="3"/>
        <v>1</v>
      </c>
      <c r="Z31" s="5">
        <v>29</v>
      </c>
      <c r="AA31" s="5" t="e">
        <v>#N/A</v>
      </c>
      <c r="AB31" s="12" t="e">
        <v>#N/A</v>
      </c>
    </row>
    <row r="32" spans="1:28">
      <c r="U32" s="4">
        <v>30</v>
      </c>
      <c r="V32" s="11">
        <f t="shared" si="0"/>
        <v>0</v>
      </c>
      <c r="W32" s="11">
        <f t="shared" si="1"/>
        <v>0</v>
      </c>
      <c r="X32" s="11">
        <f t="shared" si="2"/>
        <v>0</v>
      </c>
      <c r="Y32" s="4">
        <f t="shared" si="3"/>
        <v>1</v>
      </c>
      <c r="Z32" s="5">
        <v>30</v>
      </c>
      <c r="AA32" s="5" t="e">
        <v>#N/A</v>
      </c>
      <c r="AB32" s="12" t="e">
        <v>#N/A</v>
      </c>
    </row>
    <row r="33" spans="21:28">
      <c r="U33" s="4">
        <v>31</v>
      </c>
      <c r="V33" s="11">
        <f t="shared" si="0"/>
        <v>0</v>
      </c>
      <c r="W33" s="11">
        <f t="shared" si="1"/>
        <v>0</v>
      </c>
      <c r="X33" s="11">
        <f t="shared" si="2"/>
        <v>0</v>
      </c>
      <c r="Y33" s="4">
        <f t="shared" si="3"/>
        <v>1</v>
      </c>
      <c r="Z33" s="5">
        <v>31</v>
      </c>
      <c r="AA33" s="5" t="e">
        <v>#N/A</v>
      </c>
      <c r="AB33" s="12" t="e">
        <v>#N/A</v>
      </c>
    </row>
    <row r="34" spans="21:28">
      <c r="U34" s="4">
        <v>32</v>
      </c>
      <c r="V34" s="11">
        <f t="shared" si="0"/>
        <v>0</v>
      </c>
      <c r="W34" s="11">
        <f t="shared" si="1"/>
        <v>0</v>
      </c>
      <c r="X34" s="11">
        <f t="shared" si="2"/>
        <v>0</v>
      </c>
      <c r="Y34" s="4">
        <f t="shared" si="3"/>
        <v>1</v>
      </c>
      <c r="Z34" s="5">
        <v>32</v>
      </c>
      <c r="AA34" s="5" t="e">
        <v>#N/A</v>
      </c>
      <c r="AB34" s="12" t="e">
        <v>#N/A</v>
      </c>
    </row>
    <row r="35" spans="21:28">
      <c r="U35" s="4">
        <v>33</v>
      </c>
      <c r="V35" s="11">
        <f t="shared" si="0"/>
        <v>0</v>
      </c>
      <c r="W35" s="11">
        <f t="shared" si="1"/>
        <v>0</v>
      </c>
      <c r="X35" s="11">
        <f t="shared" si="2"/>
        <v>0</v>
      </c>
      <c r="Y35" s="4">
        <f t="shared" si="3"/>
        <v>1</v>
      </c>
      <c r="Z35" s="5">
        <v>33</v>
      </c>
      <c r="AA35" s="5" t="e">
        <v>#N/A</v>
      </c>
      <c r="AB35" s="12" t="e">
        <v>#N/A</v>
      </c>
    </row>
    <row r="36" spans="21:28">
      <c r="U36" s="4">
        <v>34</v>
      </c>
      <c r="V36" s="11">
        <f t="shared" si="0"/>
        <v>0</v>
      </c>
      <c r="W36" s="11">
        <f t="shared" si="1"/>
        <v>0</v>
      </c>
      <c r="X36" s="11">
        <f t="shared" si="2"/>
        <v>0</v>
      </c>
      <c r="Y36" s="4">
        <f t="shared" si="3"/>
        <v>1</v>
      </c>
      <c r="Z36" s="5">
        <v>34</v>
      </c>
      <c r="AA36" s="5" t="e">
        <v>#N/A</v>
      </c>
      <c r="AB36" s="12" t="e">
        <v>#N/A</v>
      </c>
    </row>
    <row r="37" spans="21:28">
      <c r="U37" s="4">
        <v>35</v>
      </c>
      <c r="V37" s="11">
        <f t="shared" si="0"/>
        <v>0</v>
      </c>
      <c r="W37" s="11">
        <f t="shared" si="1"/>
        <v>0</v>
      </c>
      <c r="X37" s="11">
        <f t="shared" si="2"/>
        <v>0</v>
      </c>
      <c r="Y37" s="4">
        <f t="shared" si="3"/>
        <v>1</v>
      </c>
      <c r="Z37" s="5">
        <v>35</v>
      </c>
      <c r="AA37" s="5" t="e">
        <v>#N/A</v>
      </c>
      <c r="AB37" s="12" t="e">
        <v>#N/A</v>
      </c>
    </row>
    <row r="38" spans="21:28">
      <c r="U38" s="4">
        <v>36</v>
      </c>
      <c r="V38" s="11">
        <f t="shared" si="0"/>
        <v>0</v>
      </c>
      <c r="W38" s="11">
        <f t="shared" si="1"/>
        <v>0</v>
      </c>
      <c r="X38" s="11">
        <f t="shared" si="2"/>
        <v>0</v>
      </c>
      <c r="Y38" s="4">
        <f t="shared" si="3"/>
        <v>1</v>
      </c>
      <c r="Z38" s="5">
        <v>36</v>
      </c>
      <c r="AA38" s="5" t="e">
        <v>#N/A</v>
      </c>
      <c r="AB38" s="12" t="e">
        <v>#N/A</v>
      </c>
    </row>
    <row r="39" spans="21:28">
      <c r="U39" s="4">
        <v>37</v>
      </c>
      <c r="V39" s="11">
        <f t="shared" si="0"/>
        <v>0</v>
      </c>
      <c r="W39" s="11">
        <f t="shared" si="1"/>
        <v>0</v>
      </c>
      <c r="X39" s="11">
        <f t="shared" si="2"/>
        <v>0</v>
      </c>
      <c r="Y39" s="4">
        <f t="shared" si="3"/>
        <v>1</v>
      </c>
      <c r="Z39" s="5">
        <v>37</v>
      </c>
      <c r="AA39" s="5" t="e">
        <v>#N/A</v>
      </c>
      <c r="AB39" s="12" t="e">
        <v>#N/A</v>
      </c>
    </row>
    <row r="40" spans="21:28">
      <c r="U40" s="4">
        <v>38</v>
      </c>
      <c r="V40" s="11">
        <f t="shared" si="0"/>
        <v>0</v>
      </c>
      <c r="W40" s="11">
        <f t="shared" si="1"/>
        <v>0</v>
      </c>
      <c r="X40" s="11">
        <f t="shared" si="2"/>
        <v>0</v>
      </c>
      <c r="Y40" s="4">
        <f t="shared" si="3"/>
        <v>1</v>
      </c>
      <c r="Z40" s="5">
        <v>38</v>
      </c>
      <c r="AA40" s="5" t="e">
        <v>#N/A</v>
      </c>
      <c r="AB40" s="12" t="e">
        <v>#N/A</v>
      </c>
    </row>
    <row r="41" spans="21:28">
      <c r="U41" s="4">
        <v>39</v>
      </c>
      <c r="V41" s="11">
        <f t="shared" si="0"/>
        <v>0</v>
      </c>
      <c r="W41" s="11">
        <f t="shared" si="1"/>
        <v>0</v>
      </c>
      <c r="X41" s="11">
        <f t="shared" si="2"/>
        <v>0</v>
      </c>
      <c r="Y41" s="4">
        <f t="shared" si="3"/>
        <v>1</v>
      </c>
      <c r="Z41" s="5">
        <v>39</v>
      </c>
      <c r="AA41" s="5" t="e">
        <v>#N/A</v>
      </c>
      <c r="AB41" s="12" t="e">
        <v>#N/A</v>
      </c>
    </row>
    <row r="42" spans="21:28">
      <c r="U42" s="4">
        <v>40</v>
      </c>
      <c r="V42" s="11">
        <f t="shared" si="0"/>
        <v>0</v>
      </c>
      <c r="W42" s="11">
        <f t="shared" si="1"/>
        <v>0</v>
      </c>
      <c r="X42" s="11">
        <f t="shared" si="2"/>
        <v>0</v>
      </c>
      <c r="Y42" s="4">
        <f t="shared" si="3"/>
        <v>1</v>
      </c>
      <c r="Z42" s="5">
        <v>40</v>
      </c>
      <c r="AA42" s="5" t="e">
        <v>#N/A</v>
      </c>
      <c r="AB42" s="12" t="e">
        <v>#N/A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K1:T1"/>
  </mergeCells>
  <phoneticPr fontId="33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10"/>
  <sheetViews>
    <sheetView workbookViewId="0">
      <selection activeCell="J40" sqref="J40"/>
    </sheetView>
  </sheetViews>
  <sheetFormatPr defaultColWidth="9" defaultRowHeight="13.5"/>
  <cols>
    <col min="1" max="1" width="55.625" customWidth="1"/>
  </cols>
  <sheetData>
    <row r="1" spans="1:1">
      <c r="A1" t="s">
        <v>313</v>
      </c>
    </row>
    <row r="2" spans="1:1">
      <c r="A2" t="s">
        <v>314</v>
      </c>
    </row>
    <row r="3" spans="1:1">
      <c r="A3" t="s">
        <v>315</v>
      </c>
    </row>
    <row r="4" spans="1:1">
      <c r="A4" t="s">
        <v>316</v>
      </c>
    </row>
    <row r="5" spans="1:1">
      <c r="A5" s="1" t="s">
        <v>317</v>
      </c>
    </row>
    <row r="10" spans="1:1">
      <c r="A10" t="s">
        <v>318</v>
      </c>
    </row>
  </sheetData>
  <sheetProtection formatCells="0" formatColumns="0" formatRows="0" insertColumns="0" insertRows="0" insertHyperlinks="0" deleteColumns="0" deleteRows="0" sort="0" autoFilter="0" pivotTables="0"/>
  <phoneticPr fontId="3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567655517768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comments xmlns="https://web.wps.cn/et/2018/main" xmlns:s="http://schemas.openxmlformats.org/spreadsheetml/2006/main" xmlns:r="http://schemas.openxmlformats.org/officeDocument/2006/relationships">
  <commentList sheetStid="2">
    <commentChains s:ref="J26" rgbClr="FF0000">
      <unresolved>
        <commentChain chainId="430b067abab552e39c491239e238de32e7f4f520">
          <item id="221115956694f27954ff7fa80d2183ed64ac9739" isNormal="1">
            <s:text>
              <s:r>
                <s:t xml:space="preserve">24647:
记得看第几季度交货</s:t>
              </s:r>
            </s:text>
          </item>
        </commentChain>
      </unresolved>
      <resolved/>
    </commentChains>
  </commentList>
</comments>
</file>

<file path=customXml/item3.xml><?xml version="1.0" encoding="utf-8"?>
<pixelators xmlns="https://web.wps.cn/et/2018/main" xmlns:s="http://schemas.openxmlformats.org/spreadsheetml/2006/main">
  <pixelatorList sheetStid="1"/>
  <pixelatorList sheetStid="11"/>
  <pixelatorList sheetStid="2"/>
  <pixelatorList sheetStid="14"/>
  <pixelatorList sheetStid="3"/>
  <pixelatorList sheetStid="5"/>
  <pixelatorList sheetStid="10"/>
  <pixelatorList sheetStid="4"/>
  <pixelatorList sheetStid="7"/>
  <pixelatorList sheetStid="6"/>
  <pixelatorList sheetStid="8"/>
  <pixelatorList sheetStid="15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规则表</vt:lpstr>
      <vt:lpstr>订单贴现表</vt:lpstr>
      <vt:lpstr>现金流量表</vt:lpstr>
      <vt:lpstr>生产建设</vt:lpstr>
      <vt:lpstr>材料表</vt:lpstr>
      <vt:lpstr>自动订单表</vt:lpstr>
      <vt:lpstr>产能表</vt:lpstr>
      <vt:lpstr>原始订单表</vt:lpstr>
      <vt:lpstr>激励</vt:lpstr>
      <vt:lpstr>竞单</vt:lpstr>
      <vt:lpstr>竞单分析</vt:lpstr>
      <vt:lpstr>广告表</vt:lpstr>
      <vt:lpstr>改进意见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Administrator</cp:lastModifiedBy>
  <dcterms:created xsi:type="dcterms:W3CDTF">2023-05-13T03:15:00Z</dcterms:created>
  <dcterms:modified xsi:type="dcterms:W3CDTF">2026-10-17T10:26:22Z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1FAE811406F540B59CD7021B9D6BAEF7_13</vt:lpwstr>
  </property>
  <property fmtid="{D5CDD505-2E9C-101B-9397-08002B2CF9AE}" pid="4" name="CalculationRule">
    <vt:i4>0</vt:i4>
  </property>
</Properties>
</file>